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adarant\pqc_secure_boot_benchmarking\docs\"/>
    </mc:Choice>
  </mc:AlternateContent>
  <xr:revisionPtr revIDLastSave="0" documentId="13_ncr:1_{AAFDA7E7-9388-4EAA-AF3C-8594688E1022}" xr6:coauthVersionLast="47" xr6:coauthVersionMax="47" xr10:uidLastSave="{00000000-0000-0000-0000-000000000000}"/>
  <bookViews>
    <workbookView xWindow="-108" yWindow="-108" windowWidth="23256" windowHeight="12456" activeTab="1" xr2:uid="{5BABE791-BFF6-48E4-A7DC-E93189151006}"/>
  </bookViews>
  <sheets>
    <sheet name="benchmark_all_data_SHA3_256" sheetId="1" r:id="rId1"/>
    <sheet name="benchmark_all_data_SHA_256" sheetId="2" r:id="rId2"/>
  </sheets>
  <definedNames>
    <definedName name="_xlnm._FilterDatabase" localSheetId="0" hidden="1">benchmark_all_data_SHA3_256!$A$1:$F$136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1" l="1"/>
  <c r="G136" i="1"/>
  <c r="I136" i="1" s="1"/>
  <c r="H135" i="1"/>
  <c r="G135" i="1"/>
  <c r="I135" i="1" s="1"/>
  <c r="H134" i="1"/>
  <c r="G134" i="1"/>
  <c r="H133" i="1"/>
  <c r="G133" i="1"/>
  <c r="I133" i="1" s="1"/>
  <c r="H132" i="1"/>
  <c r="G132" i="1"/>
  <c r="I132" i="1" s="1"/>
  <c r="H131" i="1"/>
  <c r="G131" i="1"/>
  <c r="I131" i="1" s="1"/>
  <c r="H130" i="1"/>
  <c r="G130" i="1"/>
  <c r="I130" i="1" s="1"/>
  <c r="H129" i="1"/>
  <c r="G129" i="1"/>
  <c r="I129" i="1" s="1"/>
  <c r="H128" i="1"/>
  <c r="G128" i="1"/>
  <c r="I128" i="1" s="1"/>
  <c r="H127" i="1"/>
  <c r="G127" i="1"/>
  <c r="I127" i="1" s="1"/>
  <c r="H126" i="1"/>
  <c r="G126" i="1"/>
  <c r="I126" i="1" s="1"/>
  <c r="H125" i="1"/>
  <c r="G125" i="1"/>
  <c r="I125" i="1" s="1"/>
  <c r="H124" i="1"/>
  <c r="G124" i="1"/>
  <c r="I124" i="1" s="1"/>
  <c r="H123" i="1"/>
  <c r="G123" i="1"/>
  <c r="I123" i="1" s="1"/>
  <c r="H122" i="1"/>
  <c r="G122" i="1"/>
  <c r="I122" i="1" s="1"/>
  <c r="H121" i="1"/>
  <c r="G121" i="1"/>
  <c r="I121" i="1" s="1"/>
  <c r="H120" i="1"/>
  <c r="G120" i="1"/>
  <c r="H119" i="1"/>
  <c r="G119" i="1"/>
  <c r="I119" i="1" s="1"/>
  <c r="H118" i="1"/>
  <c r="G118" i="1"/>
  <c r="I118" i="1" s="1"/>
  <c r="H117" i="1"/>
  <c r="G117" i="1"/>
  <c r="H116" i="1"/>
  <c r="G116" i="1"/>
  <c r="I116" i="1" s="1"/>
  <c r="H115" i="1"/>
  <c r="G115" i="1"/>
  <c r="I115" i="1" s="1"/>
  <c r="H114" i="1"/>
  <c r="G114" i="1"/>
  <c r="H113" i="1"/>
  <c r="G113" i="1"/>
  <c r="I113" i="1" s="1"/>
  <c r="H112" i="1"/>
  <c r="G112" i="1"/>
  <c r="I112" i="1" s="1"/>
  <c r="H111" i="1"/>
  <c r="G111" i="1"/>
  <c r="I111" i="1" s="1"/>
  <c r="H110" i="1"/>
  <c r="G110" i="1"/>
  <c r="I110" i="1" s="1"/>
  <c r="H109" i="1"/>
  <c r="G109" i="1"/>
  <c r="I109" i="1" s="1"/>
  <c r="H108" i="1"/>
  <c r="G108" i="1"/>
  <c r="I108" i="1" s="1"/>
  <c r="H107" i="1"/>
  <c r="G107" i="1"/>
  <c r="I107" i="1" s="1"/>
  <c r="H106" i="1"/>
  <c r="G106" i="1"/>
  <c r="I106" i="1" s="1"/>
  <c r="H105" i="1"/>
  <c r="G105" i="1"/>
  <c r="H104" i="1"/>
  <c r="G104" i="1"/>
  <c r="H103" i="1"/>
  <c r="G103" i="1"/>
  <c r="H102" i="1"/>
  <c r="G102" i="1"/>
  <c r="I102" i="1" s="1"/>
  <c r="H101" i="1"/>
  <c r="G101" i="1"/>
  <c r="I101" i="1" s="1"/>
  <c r="H100" i="1"/>
  <c r="G100" i="1"/>
  <c r="I100" i="1" s="1"/>
  <c r="H99" i="1"/>
  <c r="G99" i="1"/>
  <c r="I99" i="1" s="1"/>
  <c r="H98" i="1"/>
  <c r="G98" i="1"/>
  <c r="H97" i="1"/>
  <c r="G97" i="1"/>
  <c r="H96" i="1"/>
  <c r="G96" i="1"/>
  <c r="I96" i="1" s="1"/>
  <c r="H95" i="1"/>
  <c r="G95" i="1"/>
  <c r="I95" i="1" s="1"/>
  <c r="H94" i="1"/>
  <c r="G94" i="1"/>
  <c r="I94" i="1" s="1"/>
  <c r="H93" i="1"/>
  <c r="G93" i="1"/>
  <c r="H92" i="1"/>
  <c r="G92" i="1"/>
  <c r="I92" i="1" s="1"/>
  <c r="H91" i="1"/>
  <c r="G91" i="1"/>
  <c r="I91" i="1" s="1"/>
  <c r="H90" i="1"/>
  <c r="G90" i="1"/>
  <c r="H89" i="1"/>
  <c r="G89" i="1"/>
  <c r="I89" i="1" s="1"/>
  <c r="H88" i="1"/>
  <c r="G88" i="1"/>
  <c r="I88" i="1" s="1"/>
  <c r="H87" i="1"/>
  <c r="G87" i="1"/>
  <c r="H86" i="1"/>
  <c r="G86" i="1"/>
  <c r="H85" i="1"/>
  <c r="G85" i="1"/>
  <c r="I85" i="1" s="1"/>
  <c r="H84" i="1"/>
  <c r="G84" i="1"/>
  <c r="I84" i="1" s="1"/>
  <c r="H83" i="1"/>
  <c r="G83" i="1"/>
  <c r="I83" i="1" s="1"/>
  <c r="H82" i="1"/>
  <c r="G82" i="1"/>
  <c r="H81" i="1"/>
  <c r="G81" i="1"/>
  <c r="I81" i="1" s="1"/>
  <c r="H80" i="1"/>
  <c r="G80" i="1"/>
  <c r="I80" i="1" s="1"/>
  <c r="H79" i="1"/>
  <c r="G79" i="1"/>
  <c r="I79" i="1" s="1"/>
  <c r="H78" i="1"/>
  <c r="G78" i="1"/>
  <c r="I78" i="1" s="1"/>
  <c r="H77" i="1"/>
  <c r="G77" i="1"/>
  <c r="I77" i="1" s="1"/>
  <c r="H76" i="1"/>
  <c r="G76" i="1"/>
  <c r="I76" i="1" s="1"/>
  <c r="H75" i="1"/>
  <c r="G75" i="1"/>
  <c r="I75" i="1" s="1"/>
  <c r="H74" i="1"/>
  <c r="G74" i="1"/>
  <c r="I74" i="1" s="1"/>
  <c r="H73" i="1"/>
  <c r="G73" i="1"/>
  <c r="I73" i="1" s="1"/>
  <c r="H72" i="1"/>
  <c r="G72" i="1"/>
  <c r="I72" i="1" s="1"/>
  <c r="H71" i="1"/>
  <c r="G71" i="1"/>
  <c r="I71" i="1" s="1"/>
  <c r="H70" i="1"/>
  <c r="G70" i="1"/>
  <c r="I70" i="1" s="1"/>
  <c r="H69" i="1"/>
  <c r="G69" i="1"/>
  <c r="H68" i="1"/>
  <c r="G68" i="1"/>
  <c r="I68" i="1" s="1"/>
  <c r="H67" i="1"/>
  <c r="G67" i="1"/>
  <c r="I67" i="1" s="1"/>
  <c r="H66" i="1"/>
  <c r="G66" i="1"/>
  <c r="H65" i="1"/>
  <c r="G65" i="1"/>
  <c r="H64" i="1"/>
  <c r="G64" i="1"/>
  <c r="I64" i="1" s="1"/>
  <c r="H63" i="1"/>
  <c r="G63" i="1"/>
  <c r="I63" i="1" s="1"/>
  <c r="H62" i="1"/>
  <c r="G62" i="1"/>
  <c r="I62" i="1" s="1"/>
  <c r="H61" i="1"/>
  <c r="G61" i="1"/>
  <c r="I61" i="1" s="1"/>
  <c r="H60" i="1"/>
  <c r="G60" i="1"/>
  <c r="I60" i="1" s="1"/>
  <c r="H59" i="1"/>
  <c r="G59" i="1"/>
  <c r="I59" i="1" s="1"/>
  <c r="H58" i="1"/>
  <c r="G58" i="1"/>
  <c r="I58" i="1" s="1"/>
  <c r="H57" i="1"/>
  <c r="G57" i="1"/>
  <c r="I57" i="1" s="1"/>
  <c r="H56" i="1"/>
  <c r="G56" i="1"/>
  <c r="I56" i="1" s="1"/>
  <c r="H55" i="1"/>
  <c r="G55" i="1"/>
  <c r="I55" i="1" s="1"/>
  <c r="H54" i="1"/>
  <c r="G54" i="1"/>
  <c r="I54" i="1" s="1"/>
  <c r="H53" i="1"/>
  <c r="G53" i="1"/>
  <c r="I53" i="1" s="1"/>
  <c r="H52" i="1"/>
  <c r="G52" i="1"/>
  <c r="I52" i="1" s="1"/>
  <c r="H51" i="1"/>
  <c r="G51" i="1"/>
  <c r="I51" i="1" s="1"/>
  <c r="H50" i="1"/>
  <c r="G50" i="1"/>
  <c r="I50" i="1" s="1"/>
  <c r="H49" i="1"/>
  <c r="G49" i="1"/>
  <c r="I49" i="1" s="1"/>
  <c r="H48" i="1"/>
  <c r="G48" i="1"/>
  <c r="I48" i="1" s="1"/>
  <c r="H47" i="1"/>
  <c r="G47" i="1"/>
  <c r="I47" i="1" s="1"/>
  <c r="H46" i="1"/>
  <c r="G46" i="1"/>
  <c r="I46" i="1" s="1"/>
  <c r="H45" i="1"/>
  <c r="G45" i="1"/>
  <c r="I45" i="1" s="1"/>
  <c r="H44" i="1"/>
  <c r="G44" i="1"/>
  <c r="I44" i="1" s="1"/>
  <c r="H43" i="1"/>
  <c r="G43" i="1"/>
  <c r="I43" i="1" s="1"/>
  <c r="H42" i="1"/>
  <c r="G42" i="1"/>
  <c r="I42" i="1" s="1"/>
  <c r="H41" i="1"/>
  <c r="G41" i="1"/>
  <c r="I41" i="1" s="1"/>
  <c r="H40" i="1"/>
  <c r="G40" i="1"/>
  <c r="I40" i="1" s="1"/>
  <c r="H39" i="1"/>
  <c r="G39" i="1"/>
  <c r="I39" i="1" s="1"/>
  <c r="H38" i="1"/>
  <c r="G38" i="1"/>
  <c r="I38" i="1" s="1"/>
  <c r="H37" i="1"/>
  <c r="G37" i="1"/>
  <c r="I37" i="1" s="1"/>
  <c r="H36" i="1"/>
  <c r="G36" i="1"/>
  <c r="I36" i="1" s="1"/>
  <c r="H35" i="1"/>
  <c r="G35" i="1"/>
  <c r="I35" i="1" s="1"/>
  <c r="H34" i="1"/>
  <c r="G34" i="1"/>
  <c r="I34" i="1" s="1"/>
  <c r="H33" i="1"/>
  <c r="G33" i="1"/>
  <c r="I33" i="1" s="1"/>
  <c r="H32" i="1"/>
  <c r="G32" i="1"/>
  <c r="I32" i="1" s="1"/>
  <c r="H31" i="1"/>
  <c r="G31" i="1"/>
  <c r="I31" i="1" s="1"/>
  <c r="H30" i="1"/>
  <c r="G30" i="1"/>
  <c r="I30" i="1" s="1"/>
  <c r="H29" i="1"/>
  <c r="G29" i="1"/>
  <c r="I29" i="1" s="1"/>
  <c r="H28" i="1"/>
  <c r="G28" i="1"/>
  <c r="I28" i="1" s="1"/>
  <c r="H27" i="1"/>
  <c r="G27" i="1"/>
  <c r="I27" i="1" s="1"/>
  <c r="H26" i="1"/>
  <c r="G26" i="1"/>
  <c r="I26" i="1" s="1"/>
  <c r="H25" i="1"/>
  <c r="G25" i="1"/>
  <c r="I25" i="1" s="1"/>
  <c r="H24" i="1"/>
  <c r="G24" i="1"/>
  <c r="I24" i="1" s="1"/>
  <c r="H23" i="1"/>
  <c r="G23" i="1"/>
  <c r="I23" i="1" s="1"/>
  <c r="H22" i="1"/>
  <c r="G22" i="1"/>
  <c r="I22" i="1" s="1"/>
  <c r="H21" i="1"/>
  <c r="G21" i="1"/>
  <c r="I21" i="1" s="1"/>
  <c r="H20" i="1"/>
  <c r="G20" i="1"/>
  <c r="I20" i="1" s="1"/>
  <c r="H19" i="1"/>
  <c r="G19" i="1"/>
  <c r="I19" i="1" s="1"/>
  <c r="H18" i="1"/>
  <c r="G18" i="1"/>
  <c r="I18" i="1" s="1"/>
  <c r="H17" i="1"/>
  <c r="G17" i="1"/>
  <c r="I17" i="1" s="1"/>
  <c r="H16" i="1"/>
  <c r="G16" i="1"/>
  <c r="H15" i="1"/>
  <c r="G15" i="1"/>
  <c r="I15" i="1" s="1"/>
  <c r="H14" i="1"/>
  <c r="G14" i="1"/>
  <c r="I14" i="1" s="1"/>
  <c r="H13" i="1"/>
  <c r="G13" i="1"/>
  <c r="H12" i="1"/>
  <c r="G12" i="1"/>
  <c r="I12" i="1" s="1"/>
  <c r="H11" i="1"/>
  <c r="G11" i="1"/>
  <c r="I11" i="1" s="1"/>
  <c r="H10" i="1"/>
  <c r="G10" i="1"/>
  <c r="H9" i="1"/>
  <c r="G9" i="1"/>
  <c r="I9" i="1" s="1"/>
  <c r="H8" i="1"/>
  <c r="G8" i="1"/>
  <c r="H7" i="1"/>
  <c r="G7" i="1"/>
  <c r="I7" i="1" s="1"/>
  <c r="H6" i="1"/>
  <c r="G6" i="1"/>
  <c r="I6" i="1" s="1"/>
  <c r="H5" i="1"/>
  <c r="G5" i="1"/>
  <c r="I5" i="1" s="1"/>
  <c r="H4" i="1"/>
  <c r="G4" i="1"/>
  <c r="I4" i="1" s="1"/>
  <c r="H3" i="1"/>
  <c r="G3" i="1"/>
  <c r="I3" i="1" s="1"/>
  <c r="H2" i="1"/>
  <c r="G2" i="1"/>
  <c r="I2" i="1" s="1"/>
  <c r="I134" i="1" l="1"/>
  <c r="I90" i="1"/>
  <c r="I66" i="1"/>
  <c r="I97" i="1"/>
  <c r="I120" i="1"/>
  <c r="I114" i="1"/>
  <c r="I104" i="1"/>
  <c r="I93" i="1"/>
  <c r="I65" i="1"/>
  <c r="I98" i="1"/>
  <c r="I87" i="1"/>
  <c r="I86" i="1"/>
  <c r="I82" i="1"/>
  <c r="I13" i="1"/>
  <c r="I117" i="1"/>
  <c r="I16" i="1"/>
  <c r="I105" i="1"/>
  <c r="I103" i="1"/>
  <c r="I69" i="1"/>
  <c r="I10" i="1"/>
  <c r="I8" i="1"/>
</calcChain>
</file>

<file path=xl/sharedStrings.xml><?xml version="1.0" encoding="utf-8"?>
<sst xmlns="http://schemas.openxmlformats.org/spreadsheetml/2006/main" count="285" uniqueCount="13">
  <si>
    <t>Scheme</t>
  </si>
  <si>
    <t>verify cycles</t>
  </si>
  <si>
    <t>verify time [ms]</t>
  </si>
  <si>
    <t>total time [ms]</t>
  </si>
  <si>
    <t>M4F-ML-DSA-44</t>
  </si>
  <si>
    <t>M4F-ML-DSA-65</t>
  </si>
  <si>
    <t>M4F-ML-DSA-87</t>
  </si>
  <si>
    <t>SHA3-256 cycles</t>
  </si>
  <si>
    <t>SHA3-256 time [ms]</t>
  </si>
  <si>
    <t>Frequency [MHz]</t>
  </si>
  <si>
    <t>image size [B]</t>
  </si>
  <si>
    <t>Stack Usage [B]</t>
  </si>
  <si>
    <t>SHA-256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</si>
</sst>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60B3-0D73-434D-8FBB-8B96FF1E475C}">
  <dimension ref="A1:J136"/>
  <sheetViews>
    <sheetView workbookViewId="0">
      <selection activeCell="I2" sqref="I2"/>
    </sheetView>
  </sheetViews>
  <sheetFormatPr defaultRowHeight="14.4" x14ac:dyDescent="0.3"/>
  <cols>
    <col min="1" max="1" width="14.6640625" bestFit="1" customWidth="1"/>
    <col min="2" max="2" width="14" bestFit="1" customWidth="1"/>
    <col min="3" max="3" width="15.6640625" bestFit="1" customWidth="1"/>
    <col min="4" max="4" width="13" bestFit="1" customWidth="1"/>
    <col min="5" max="5" width="14.6640625" customWidth="1"/>
    <col min="6" max="6" width="11.5546875" bestFit="1" customWidth="1"/>
    <col min="7" max="7" width="18" customWidth="1"/>
    <col min="8" max="8" width="14.88671875" bestFit="1" customWidth="1"/>
    <col min="9" max="9" width="13.88671875" bestFit="1" customWidth="1"/>
    <col min="10" max="10" width="8.88671875" style="1"/>
  </cols>
  <sheetData>
    <row r="1" spans="1:10" x14ac:dyDescent="0.3">
      <c r="A1" t="s">
        <v>0</v>
      </c>
      <c r="B1" t="s">
        <v>11</v>
      </c>
      <c r="C1" t="s">
        <v>9</v>
      </c>
      <c r="D1" t="s">
        <v>10</v>
      </c>
      <c r="E1" t="s">
        <v>7</v>
      </c>
      <c r="F1" t="s">
        <v>1</v>
      </c>
      <c r="G1" t="s">
        <v>8</v>
      </c>
      <c r="H1" t="s">
        <v>2</v>
      </c>
      <c r="I1" t="s">
        <v>3</v>
      </c>
    </row>
    <row r="2" spans="1:10" x14ac:dyDescent="0.3">
      <c r="A2" t="s">
        <v>4</v>
      </c>
      <c r="B2">
        <v>9160</v>
      </c>
      <c r="C2" s="2">
        <v>4</v>
      </c>
      <c r="D2" s="2">
        <v>264</v>
      </c>
      <c r="E2" s="2">
        <v>33265</v>
      </c>
      <c r="F2" s="2">
        <v>1450496</v>
      </c>
      <c r="G2" s="2">
        <f t="shared" ref="G2:G33" si="0">E2*(1/(C2*1000))</f>
        <v>8.3162500000000001</v>
      </c>
      <c r="H2" s="2">
        <f t="shared" ref="H2:H33" si="1">F2*(1/(C2*1000))</f>
        <v>362.62400000000002</v>
      </c>
      <c r="I2" s="2">
        <f>G2+H2</f>
        <v>370.94025000000005</v>
      </c>
      <c r="J2"/>
    </row>
    <row r="3" spans="1:10" x14ac:dyDescent="0.3">
      <c r="A3" t="s">
        <v>4</v>
      </c>
      <c r="B3">
        <v>9160</v>
      </c>
      <c r="C3" s="2">
        <v>4</v>
      </c>
      <c r="D3" s="2">
        <v>1024</v>
      </c>
      <c r="E3" s="2">
        <v>87955</v>
      </c>
      <c r="F3" s="2">
        <v>1450213</v>
      </c>
      <c r="G3" s="2">
        <f t="shared" si="0"/>
        <v>21.98875</v>
      </c>
      <c r="H3" s="2">
        <f t="shared" si="1"/>
        <v>362.55324999999999</v>
      </c>
      <c r="I3" s="2">
        <f t="shared" ref="I3:I66" si="2">G3+H3</f>
        <v>384.54199999999997</v>
      </c>
      <c r="J3"/>
    </row>
    <row r="4" spans="1:10" x14ac:dyDescent="0.3">
      <c r="A4" t="s">
        <v>4</v>
      </c>
      <c r="B4">
        <v>9160</v>
      </c>
      <c r="C4" s="2">
        <v>4</v>
      </c>
      <c r="D4" s="2">
        <v>10240</v>
      </c>
      <c r="E4" s="2">
        <v>824459</v>
      </c>
      <c r="F4" s="2">
        <v>1450359</v>
      </c>
      <c r="G4" s="2">
        <f t="shared" si="0"/>
        <v>206.11475000000002</v>
      </c>
      <c r="H4" s="2">
        <f t="shared" si="1"/>
        <v>362.58974999999998</v>
      </c>
      <c r="I4" s="2">
        <f t="shared" si="2"/>
        <v>568.70450000000005</v>
      </c>
      <c r="J4"/>
    </row>
    <row r="5" spans="1:10" x14ac:dyDescent="0.3">
      <c r="A5" t="s">
        <v>4</v>
      </c>
      <c r="B5">
        <v>9160</v>
      </c>
      <c r="C5" s="2">
        <v>4</v>
      </c>
      <c r="D5" s="2">
        <v>51200</v>
      </c>
      <c r="E5" s="2">
        <v>4085649</v>
      </c>
      <c r="F5" s="2">
        <v>1451020</v>
      </c>
      <c r="G5" s="2">
        <f t="shared" si="0"/>
        <v>1021.41225</v>
      </c>
      <c r="H5" s="2">
        <f t="shared" si="1"/>
        <v>362.755</v>
      </c>
      <c r="I5" s="2">
        <f t="shared" si="2"/>
        <v>1384.16725</v>
      </c>
      <c r="J5"/>
    </row>
    <row r="6" spans="1:10" x14ac:dyDescent="0.3">
      <c r="A6" t="s">
        <v>4</v>
      </c>
      <c r="B6">
        <v>9160</v>
      </c>
      <c r="C6" s="2">
        <v>4</v>
      </c>
      <c r="D6" s="2">
        <v>102400</v>
      </c>
      <c r="E6" s="2">
        <v>8169599</v>
      </c>
      <c r="F6" s="2">
        <v>1450712</v>
      </c>
      <c r="G6" s="2">
        <f t="shared" si="0"/>
        <v>2042.39975</v>
      </c>
      <c r="H6" s="2">
        <f t="shared" si="1"/>
        <v>362.678</v>
      </c>
      <c r="I6" s="2">
        <f t="shared" si="2"/>
        <v>2405.0777499999999</v>
      </c>
      <c r="J6"/>
    </row>
    <row r="7" spans="1:10" x14ac:dyDescent="0.3">
      <c r="A7" t="s">
        <v>4</v>
      </c>
      <c r="B7">
        <v>9160</v>
      </c>
      <c r="C7" s="2">
        <v>4</v>
      </c>
      <c r="D7" s="2">
        <v>262144</v>
      </c>
      <c r="E7" s="2">
        <v>20889235</v>
      </c>
      <c r="F7" s="2">
        <v>1450710</v>
      </c>
      <c r="G7" s="2">
        <f t="shared" si="0"/>
        <v>5222.3087500000001</v>
      </c>
      <c r="H7" s="2">
        <f t="shared" si="1"/>
        <v>362.67750000000001</v>
      </c>
      <c r="I7" s="2">
        <f t="shared" si="2"/>
        <v>5584.9862499999999</v>
      </c>
      <c r="J7"/>
    </row>
    <row r="8" spans="1:10" x14ac:dyDescent="0.3">
      <c r="A8" t="s">
        <v>4</v>
      </c>
      <c r="B8">
        <v>9160</v>
      </c>
      <c r="C8" s="2">
        <v>4</v>
      </c>
      <c r="D8" s="2">
        <v>524288</v>
      </c>
      <c r="E8" s="2">
        <v>41776771</v>
      </c>
      <c r="F8" s="2">
        <v>1450765</v>
      </c>
      <c r="G8" s="2">
        <f t="shared" si="0"/>
        <v>10444.19275</v>
      </c>
      <c r="H8" s="2">
        <f t="shared" si="1"/>
        <v>362.69125000000003</v>
      </c>
      <c r="I8" s="2">
        <f t="shared" si="2"/>
        <v>10806.884</v>
      </c>
      <c r="J8"/>
    </row>
    <row r="9" spans="1:10" x14ac:dyDescent="0.3">
      <c r="A9" t="s">
        <v>4</v>
      </c>
      <c r="B9">
        <v>9160</v>
      </c>
      <c r="C9" s="2">
        <v>4</v>
      </c>
      <c r="D9" s="2">
        <v>1048576</v>
      </c>
      <c r="E9" s="2">
        <v>83541893</v>
      </c>
      <c r="F9" s="2">
        <v>1450102</v>
      </c>
      <c r="G9" s="2">
        <f t="shared" si="0"/>
        <v>20885.473249999999</v>
      </c>
      <c r="H9" s="2">
        <f t="shared" si="1"/>
        <v>362.52550000000002</v>
      </c>
      <c r="I9" s="2">
        <f t="shared" si="2"/>
        <v>21247.998749999999</v>
      </c>
      <c r="J9"/>
    </row>
    <row r="10" spans="1:10" x14ac:dyDescent="0.3">
      <c r="A10" t="s">
        <v>4</v>
      </c>
      <c r="B10">
        <v>9160</v>
      </c>
      <c r="C10" s="2">
        <v>4</v>
      </c>
      <c r="D10" s="2">
        <v>1900000</v>
      </c>
      <c r="E10" s="2">
        <v>151363149</v>
      </c>
      <c r="F10" s="2">
        <v>1451044</v>
      </c>
      <c r="G10" s="2">
        <f t="shared" si="0"/>
        <v>37840.787250000001</v>
      </c>
      <c r="H10" s="2">
        <f t="shared" si="1"/>
        <v>362.76100000000002</v>
      </c>
      <c r="I10" s="2">
        <f t="shared" si="2"/>
        <v>38203.54825</v>
      </c>
      <c r="J10"/>
    </row>
    <row r="11" spans="1:10" x14ac:dyDescent="0.3">
      <c r="A11" t="s">
        <v>4</v>
      </c>
      <c r="B11">
        <v>9160</v>
      </c>
      <c r="C11" s="2">
        <v>20</v>
      </c>
      <c r="D11" s="2">
        <v>264</v>
      </c>
      <c r="E11" s="2">
        <v>33224</v>
      </c>
      <c r="F11" s="2">
        <v>1448953</v>
      </c>
      <c r="G11" s="2">
        <f t="shared" si="0"/>
        <v>1.6612</v>
      </c>
      <c r="H11" s="2">
        <f t="shared" si="1"/>
        <v>72.44765000000001</v>
      </c>
      <c r="I11" s="2">
        <f t="shared" si="2"/>
        <v>74.108850000000004</v>
      </c>
    </row>
    <row r="12" spans="1:10" x14ac:dyDescent="0.3">
      <c r="A12" t="s">
        <v>4</v>
      </c>
      <c r="B12">
        <v>9160</v>
      </c>
      <c r="C12" s="2">
        <v>20</v>
      </c>
      <c r="D12" s="2">
        <v>1024</v>
      </c>
      <c r="E12" s="2">
        <v>87854</v>
      </c>
      <c r="F12" s="2">
        <v>1448669</v>
      </c>
      <c r="G12" s="2">
        <f t="shared" si="0"/>
        <v>4.3927000000000005</v>
      </c>
      <c r="H12" s="2">
        <f t="shared" si="1"/>
        <v>72.433450000000008</v>
      </c>
      <c r="I12" s="2">
        <f t="shared" si="2"/>
        <v>76.826150000000013</v>
      </c>
    </row>
    <row r="13" spans="1:10" x14ac:dyDescent="0.3">
      <c r="A13" t="s">
        <v>4</v>
      </c>
      <c r="B13">
        <v>9160</v>
      </c>
      <c r="C13" s="2">
        <v>20</v>
      </c>
      <c r="D13" s="2">
        <v>10240</v>
      </c>
      <c r="E13" s="2">
        <v>823542</v>
      </c>
      <c r="F13" s="2">
        <v>1448812</v>
      </c>
      <c r="G13" s="2">
        <f t="shared" si="0"/>
        <v>41.177100000000003</v>
      </c>
      <c r="H13" s="2">
        <f t="shared" si="1"/>
        <v>72.440600000000003</v>
      </c>
      <c r="I13" s="2">
        <f t="shared" si="2"/>
        <v>113.61770000000001</v>
      </c>
    </row>
    <row r="14" spans="1:10" x14ac:dyDescent="0.3">
      <c r="A14" t="s">
        <v>4</v>
      </c>
      <c r="B14">
        <v>9160</v>
      </c>
      <c r="C14" s="2">
        <v>20</v>
      </c>
      <c r="D14" s="2">
        <v>51200</v>
      </c>
      <c r="E14" s="2">
        <v>4081120</v>
      </c>
      <c r="F14" s="2">
        <v>1449474</v>
      </c>
      <c r="G14" s="2">
        <f t="shared" si="0"/>
        <v>204.05600000000001</v>
      </c>
      <c r="H14" s="2">
        <f t="shared" si="1"/>
        <v>72.473700000000008</v>
      </c>
      <c r="I14" s="2">
        <f t="shared" si="2"/>
        <v>276.52970000000005</v>
      </c>
    </row>
    <row r="15" spans="1:10" x14ac:dyDescent="0.3">
      <c r="A15" t="s">
        <v>4</v>
      </c>
      <c r="B15">
        <v>9160</v>
      </c>
      <c r="C15" s="2">
        <v>20</v>
      </c>
      <c r="D15" s="2">
        <v>102400</v>
      </c>
      <c r="E15" s="2">
        <v>8160546</v>
      </c>
      <c r="F15" s="2">
        <v>1449166</v>
      </c>
      <c r="G15" s="2">
        <f t="shared" si="0"/>
        <v>408.02730000000003</v>
      </c>
      <c r="H15" s="2">
        <f t="shared" si="1"/>
        <v>72.458300000000008</v>
      </c>
      <c r="I15" s="2">
        <f t="shared" si="2"/>
        <v>480.48560000000003</v>
      </c>
    </row>
    <row r="16" spans="1:10" x14ac:dyDescent="0.3">
      <c r="A16" t="s">
        <v>4</v>
      </c>
      <c r="B16">
        <v>9160</v>
      </c>
      <c r="C16" s="2">
        <v>20</v>
      </c>
      <c r="D16" s="2">
        <v>262144</v>
      </c>
      <c r="E16" s="2">
        <v>20866094</v>
      </c>
      <c r="F16" s="2">
        <v>1449165</v>
      </c>
      <c r="G16" s="2">
        <f t="shared" si="0"/>
        <v>1043.3047000000001</v>
      </c>
      <c r="H16" s="2">
        <f t="shared" si="1"/>
        <v>72.458250000000007</v>
      </c>
      <c r="I16" s="2">
        <f t="shared" si="2"/>
        <v>1115.76295</v>
      </c>
    </row>
    <row r="17" spans="1:10" x14ac:dyDescent="0.3">
      <c r="A17" t="s">
        <v>4</v>
      </c>
      <c r="B17">
        <v>9160</v>
      </c>
      <c r="C17" s="2">
        <v>20</v>
      </c>
      <c r="D17" s="2">
        <v>524288</v>
      </c>
      <c r="E17" s="2">
        <v>41730494</v>
      </c>
      <c r="F17" s="2">
        <v>1449218</v>
      </c>
      <c r="G17" s="2">
        <f t="shared" si="0"/>
        <v>2086.5246999999999</v>
      </c>
      <c r="H17" s="2">
        <f t="shared" si="1"/>
        <v>72.460900000000009</v>
      </c>
      <c r="I17" s="2">
        <f t="shared" si="2"/>
        <v>2158.9856</v>
      </c>
    </row>
    <row r="18" spans="1:10" x14ac:dyDescent="0.3">
      <c r="A18" t="s">
        <v>4</v>
      </c>
      <c r="B18">
        <v>9160</v>
      </c>
      <c r="C18" s="2">
        <v>20</v>
      </c>
      <c r="D18" s="2">
        <v>1048576</v>
      </c>
      <c r="E18" s="2">
        <v>83449356</v>
      </c>
      <c r="F18" s="2">
        <v>1448558</v>
      </c>
      <c r="G18" s="2">
        <f t="shared" si="0"/>
        <v>4172.4678000000004</v>
      </c>
      <c r="H18" s="2">
        <f t="shared" si="1"/>
        <v>72.427900000000008</v>
      </c>
      <c r="I18" s="2">
        <f t="shared" si="2"/>
        <v>4244.8957</v>
      </c>
    </row>
    <row r="19" spans="1:10" x14ac:dyDescent="0.3">
      <c r="A19" t="s">
        <v>4</v>
      </c>
      <c r="B19">
        <v>9160</v>
      </c>
      <c r="C19" s="2">
        <v>20</v>
      </c>
      <c r="D19" s="2">
        <v>1900000</v>
      </c>
      <c r="E19" s="2">
        <v>151195492</v>
      </c>
      <c r="F19" s="2">
        <v>1449497</v>
      </c>
      <c r="G19" s="2">
        <f t="shared" si="0"/>
        <v>7559.7746000000006</v>
      </c>
      <c r="H19" s="2">
        <f t="shared" si="1"/>
        <v>72.474850000000004</v>
      </c>
      <c r="I19" s="2">
        <f t="shared" si="2"/>
        <v>7632.2494500000003</v>
      </c>
    </row>
    <row r="20" spans="1:10" x14ac:dyDescent="0.3">
      <c r="A20" t="s">
        <v>4</v>
      </c>
      <c r="B20">
        <v>9160</v>
      </c>
      <c r="C20" s="2">
        <v>40</v>
      </c>
      <c r="D20" s="2">
        <v>264</v>
      </c>
      <c r="E20" s="2">
        <v>33355</v>
      </c>
      <c r="F20" s="2">
        <v>1454330</v>
      </c>
      <c r="G20" s="2">
        <f t="shared" si="0"/>
        <v>0.83387500000000003</v>
      </c>
      <c r="H20" s="2">
        <f t="shared" si="1"/>
        <v>36.358250000000005</v>
      </c>
      <c r="I20" s="2">
        <f t="shared" si="2"/>
        <v>37.192125000000004</v>
      </c>
      <c r="J20"/>
    </row>
    <row r="21" spans="1:10" x14ac:dyDescent="0.3">
      <c r="A21" t="s">
        <v>4</v>
      </c>
      <c r="B21">
        <v>9160</v>
      </c>
      <c r="C21" s="2">
        <v>40</v>
      </c>
      <c r="D21" s="2">
        <v>1024</v>
      </c>
      <c r="E21" s="2">
        <v>88266</v>
      </c>
      <c r="F21" s="2">
        <v>1454038</v>
      </c>
      <c r="G21" s="2">
        <f t="shared" si="0"/>
        <v>2.2066500000000002</v>
      </c>
      <c r="H21" s="2">
        <f t="shared" si="1"/>
        <v>36.350950000000005</v>
      </c>
      <c r="I21" s="2">
        <f t="shared" si="2"/>
        <v>38.557600000000008</v>
      </c>
      <c r="J21"/>
    </row>
    <row r="22" spans="1:10" x14ac:dyDescent="0.3">
      <c r="A22" t="s">
        <v>4</v>
      </c>
      <c r="B22">
        <v>9160</v>
      </c>
      <c r="C22" s="2">
        <v>40</v>
      </c>
      <c r="D22" s="2">
        <v>10240</v>
      </c>
      <c r="E22" s="2">
        <v>827214</v>
      </c>
      <c r="F22" s="2">
        <v>1454170</v>
      </c>
      <c r="G22" s="2">
        <f t="shared" si="0"/>
        <v>20.680350000000001</v>
      </c>
      <c r="H22" s="2">
        <f t="shared" si="1"/>
        <v>36.35425</v>
      </c>
      <c r="I22" s="2">
        <f t="shared" si="2"/>
        <v>57.034599999999998</v>
      </c>
      <c r="J22"/>
    </row>
    <row r="23" spans="1:10" x14ac:dyDescent="0.3">
      <c r="A23" t="s">
        <v>4</v>
      </c>
      <c r="B23">
        <v>9160</v>
      </c>
      <c r="C23" s="2">
        <v>40</v>
      </c>
      <c r="D23" s="2">
        <v>51200</v>
      </c>
      <c r="E23" s="2">
        <v>4099243</v>
      </c>
      <c r="F23" s="2">
        <v>1454843</v>
      </c>
      <c r="G23" s="2">
        <f t="shared" si="0"/>
        <v>102.481075</v>
      </c>
      <c r="H23" s="2">
        <f t="shared" si="1"/>
        <v>36.371075000000005</v>
      </c>
      <c r="I23" s="2">
        <f t="shared" si="2"/>
        <v>138.85214999999999</v>
      </c>
      <c r="J23"/>
    </row>
    <row r="24" spans="1:10" x14ac:dyDescent="0.3">
      <c r="A24" t="s">
        <v>4</v>
      </c>
      <c r="B24">
        <v>9160</v>
      </c>
      <c r="C24" s="2">
        <v>40</v>
      </c>
      <c r="D24" s="2">
        <v>102400</v>
      </c>
      <c r="E24" s="2">
        <v>8196725</v>
      </c>
      <c r="F24" s="2">
        <v>1454556</v>
      </c>
      <c r="G24" s="2">
        <f t="shared" si="0"/>
        <v>204.918125</v>
      </c>
      <c r="H24" s="2">
        <f t="shared" si="1"/>
        <v>36.363900000000001</v>
      </c>
      <c r="I24" s="2">
        <f t="shared" si="2"/>
        <v>241.282025</v>
      </c>
      <c r="J24"/>
    </row>
    <row r="25" spans="1:10" x14ac:dyDescent="0.3">
      <c r="A25" t="s">
        <v>4</v>
      </c>
      <c r="B25">
        <v>9160</v>
      </c>
      <c r="C25" s="2">
        <v>40</v>
      </c>
      <c r="D25" s="2">
        <v>262144</v>
      </c>
      <c r="E25" s="2">
        <v>20958666</v>
      </c>
      <c r="F25" s="2">
        <v>1454549</v>
      </c>
      <c r="G25" s="2">
        <f t="shared" si="0"/>
        <v>523.96665000000007</v>
      </c>
      <c r="H25" s="2">
        <f t="shared" si="1"/>
        <v>36.363725000000002</v>
      </c>
      <c r="I25" s="2">
        <f t="shared" si="2"/>
        <v>560.33037500000012</v>
      </c>
      <c r="J25"/>
    </row>
    <row r="26" spans="1:10" x14ac:dyDescent="0.3">
      <c r="A26" t="s">
        <v>4</v>
      </c>
      <c r="B26">
        <v>9160</v>
      </c>
      <c r="C26" s="2">
        <v>40</v>
      </c>
      <c r="D26" s="2">
        <v>524288</v>
      </c>
      <c r="E26" s="2">
        <v>41915571</v>
      </c>
      <c r="F26" s="2">
        <v>1454596</v>
      </c>
      <c r="G26" s="2">
        <f t="shared" si="0"/>
        <v>1047.889275</v>
      </c>
      <c r="H26" s="2">
        <f t="shared" si="1"/>
        <v>36.364899999999999</v>
      </c>
      <c r="I26" s="2">
        <f t="shared" si="2"/>
        <v>1084.254175</v>
      </c>
      <c r="J26"/>
    </row>
    <row r="27" spans="1:10" x14ac:dyDescent="0.3">
      <c r="A27" t="s">
        <v>4</v>
      </c>
      <c r="B27">
        <v>9160</v>
      </c>
      <c r="C27" s="2">
        <v>40</v>
      </c>
      <c r="D27" s="2">
        <v>1048576</v>
      </c>
      <c r="E27" s="2">
        <v>83819474</v>
      </c>
      <c r="F27" s="2">
        <v>1453922</v>
      </c>
      <c r="G27" s="2">
        <f t="shared" si="0"/>
        <v>2095.4868500000002</v>
      </c>
      <c r="H27" s="2">
        <f t="shared" si="1"/>
        <v>36.348050000000001</v>
      </c>
      <c r="I27" s="2">
        <f t="shared" si="2"/>
        <v>2131.8349000000003</v>
      </c>
      <c r="J27"/>
    </row>
    <row r="28" spans="1:10" x14ac:dyDescent="0.3">
      <c r="A28" t="s">
        <v>4</v>
      </c>
      <c r="B28">
        <v>9160</v>
      </c>
      <c r="C28" s="2">
        <v>40</v>
      </c>
      <c r="D28" s="2">
        <v>1900000</v>
      </c>
      <c r="E28" s="2">
        <v>151866129</v>
      </c>
      <c r="F28" s="2">
        <v>1454886</v>
      </c>
      <c r="G28" s="2">
        <f t="shared" si="0"/>
        <v>3796.653225</v>
      </c>
      <c r="H28" s="2">
        <f t="shared" si="1"/>
        <v>36.372150000000005</v>
      </c>
      <c r="I28" s="2">
        <f t="shared" si="2"/>
        <v>3833.0253750000002</v>
      </c>
      <c r="J28"/>
    </row>
    <row r="29" spans="1:10" x14ac:dyDescent="0.3">
      <c r="A29" t="s">
        <v>4</v>
      </c>
      <c r="B29">
        <v>9160</v>
      </c>
      <c r="C29" s="2">
        <v>80</v>
      </c>
      <c r="D29" s="2">
        <v>264</v>
      </c>
      <c r="E29" s="2">
        <v>58709</v>
      </c>
      <c r="F29" s="2">
        <v>2296406</v>
      </c>
      <c r="G29" s="2">
        <f t="shared" si="0"/>
        <v>0.73386250000000008</v>
      </c>
      <c r="H29" s="2">
        <f t="shared" si="1"/>
        <v>28.705075000000001</v>
      </c>
      <c r="I29" s="2">
        <f t="shared" si="2"/>
        <v>29.438937500000002</v>
      </c>
      <c r="J29"/>
    </row>
    <row r="30" spans="1:10" x14ac:dyDescent="0.3">
      <c r="A30" t="s">
        <v>4</v>
      </c>
      <c r="B30">
        <v>9160</v>
      </c>
      <c r="C30" s="2">
        <v>80</v>
      </c>
      <c r="D30" s="2">
        <v>1024</v>
      </c>
      <c r="E30" s="2">
        <v>155970</v>
      </c>
      <c r="F30" s="2">
        <v>2296114</v>
      </c>
      <c r="G30" s="2">
        <f t="shared" si="0"/>
        <v>1.9496250000000002</v>
      </c>
      <c r="H30" s="2">
        <f t="shared" si="1"/>
        <v>28.701425</v>
      </c>
      <c r="I30" s="2">
        <f t="shared" si="2"/>
        <v>30.651050000000001</v>
      </c>
      <c r="J30"/>
    </row>
    <row r="31" spans="1:10" x14ac:dyDescent="0.3">
      <c r="A31" t="s">
        <v>4</v>
      </c>
      <c r="B31">
        <v>9160</v>
      </c>
      <c r="C31" s="2">
        <v>80</v>
      </c>
      <c r="D31" s="2">
        <v>10240</v>
      </c>
      <c r="E31" s="2">
        <v>1469578</v>
      </c>
      <c r="F31" s="2">
        <v>2296245</v>
      </c>
      <c r="G31" s="2">
        <f t="shared" si="0"/>
        <v>18.369725000000003</v>
      </c>
      <c r="H31" s="2">
        <f t="shared" si="1"/>
        <v>28.703062500000001</v>
      </c>
      <c r="I31" s="2">
        <f t="shared" si="2"/>
        <v>47.072787500000004</v>
      </c>
      <c r="J31"/>
    </row>
    <row r="32" spans="1:10" x14ac:dyDescent="0.3">
      <c r="A32" t="s">
        <v>4</v>
      </c>
      <c r="B32">
        <v>9160</v>
      </c>
      <c r="C32" s="2">
        <v>80</v>
      </c>
      <c r="D32" s="2">
        <v>51200</v>
      </c>
      <c r="E32" s="2">
        <v>7285368</v>
      </c>
      <c r="F32" s="2">
        <v>2296919</v>
      </c>
      <c r="G32" s="2">
        <f t="shared" si="0"/>
        <v>91.067100000000011</v>
      </c>
      <c r="H32" s="2">
        <f t="shared" si="1"/>
        <v>28.7114875</v>
      </c>
      <c r="I32" s="2">
        <f t="shared" si="2"/>
        <v>119.77858750000001</v>
      </c>
      <c r="J32"/>
    </row>
    <row r="33" spans="1:10" x14ac:dyDescent="0.3">
      <c r="A33" t="s">
        <v>4</v>
      </c>
      <c r="B33">
        <v>9160</v>
      </c>
      <c r="C33" s="2">
        <v>80</v>
      </c>
      <c r="D33" s="2">
        <v>102400</v>
      </c>
      <c r="E33" s="2">
        <v>14568784</v>
      </c>
      <c r="F33" s="2">
        <v>2296632</v>
      </c>
      <c r="G33" s="2">
        <f t="shared" si="0"/>
        <v>182.10980000000001</v>
      </c>
      <c r="H33" s="2">
        <f t="shared" si="1"/>
        <v>28.707900000000002</v>
      </c>
      <c r="I33" s="2">
        <f t="shared" si="2"/>
        <v>210.8177</v>
      </c>
      <c r="J33"/>
    </row>
    <row r="34" spans="1:10" x14ac:dyDescent="0.3">
      <c r="A34" t="s">
        <v>4</v>
      </c>
      <c r="B34">
        <v>9160</v>
      </c>
      <c r="C34" s="2">
        <v>80</v>
      </c>
      <c r="D34" s="2">
        <v>262144</v>
      </c>
      <c r="E34" s="2">
        <v>37252294</v>
      </c>
      <c r="F34" s="2">
        <v>2296625</v>
      </c>
      <c r="G34" s="2">
        <f t="shared" ref="G34:G65" si="3">E34*(1/(C34*1000))</f>
        <v>465.65367500000002</v>
      </c>
      <c r="H34" s="2">
        <f t="shared" ref="H34:H65" si="4">F34*(1/(C34*1000))</f>
        <v>28.707812500000003</v>
      </c>
      <c r="I34" s="2">
        <f t="shared" si="2"/>
        <v>494.36148750000001</v>
      </c>
      <c r="J34"/>
    </row>
    <row r="35" spans="1:10" x14ac:dyDescent="0.3">
      <c r="A35" t="s">
        <v>4</v>
      </c>
      <c r="B35">
        <v>9160</v>
      </c>
      <c r="C35" s="2">
        <v>80</v>
      </c>
      <c r="D35" s="2">
        <v>524288</v>
      </c>
      <c r="E35" s="2">
        <v>74502636</v>
      </c>
      <c r="F35" s="2">
        <v>2296672</v>
      </c>
      <c r="G35" s="2">
        <f t="shared" si="3"/>
        <v>931.28295000000003</v>
      </c>
      <c r="H35" s="2">
        <f t="shared" si="4"/>
        <v>28.708400000000001</v>
      </c>
      <c r="I35" s="2">
        <f t="shared" si="2"/>
        <v>959.99135000000001</v>
      </c>
      <c r="J35"/>
    </row>
    <row r="36" spans="1:10" x14ac:dyDescent="0.3">
      <c r="A36" t="s">
        <v>4</v>
      </c>
      <c r="B36">
        <v>9160</v>
      </c>
      <c r="C36" s="2">
        <v>80</v>
      </c>
      <c r="D36" s="2">
        <v>1048576</v>
      </c>
      <c r="E36" s="2">
        <v>148985146</v>
      </c>
      <c r="F36" s="2">
        <v>2295999</v>
      </c>
      <c r="G36" s="2">
        <f t="shared" si="3"/>
        <v>1862.3143250000001</v>
      </c>
      <c r="H36" s="2">
        <f t="shared" si="4"/>
        <v>28.699987500000002</v>
      </c>
      <c r="I36" s="2">
        <f t="shared" si="2"/>
        <v>1891.0143125</v>
      </c>
      <c r="J36"/>
    </row>
    <row r="37" spans="1:10" x14ac:dyDescent="0.3">
      <c r="A37" t="s">
        <v>4</v>
      </c>
      <c r="B37">
        <v>9160</v>
      </c>
      <c r="C37" s="2">
        <v>80</v>
      </c>
      <c r="D37" s="2">
        <v>1900000</v>
      </c>
      <c r="E37" s="2">
        <v>269935152</v>
      </c>
      <c r="F37" s="2">
        <v>2296960</v>
      </c>
      <c r="G37" s="2">
        <f t="shared" si="3"/>
        <v>3374.1894000000002</v>
      </c>
      <c r="H37" s="2">
        <f t="shared" si="4"/>
        <v>28.712</v>
      </c>
      <c r="I37" s="2">
        <f t="shared" si="2"/>
        <v>3402.9014000000002</v>
      </c>
      <c r="J37"/>
    </row>
    <row r="38" spans="1:10" x14ac:dyDescent="0.3">
      <c r="A38" t="s">
        <v>4</v>
      </c>
      <c r="B38">
        <v>9160</v>
      </c>
      <c r="C38" s="2">
        <v>120</v>
      </c>
      <c r="D38" s="2">
        <v>264</v>
      </c>
      <c r="E38" s="2">
        <v>86430</v>
      </c>
      <c r="F38" s="2">
        <v>3218762</v>
      </c>
      <c r="G38" s="2">
        <f t="shared" si="3"/>
        <v>0.72025000000000006</v>
      </c>
      <c r="H38" s="2">
        <f t="shared" si="4"/>
        <v>26.823016666666668</v>
      </c>
      <c r="I38" s="2">
        <f t="shared" si="2"/>
        <v>27.543266666666668</v>
      </c>
      <c r="J38"/>
    </row>
    <row r="39" spans="1:10" x14ac:dyDescent="0.3">
      <c r="A39" t="s">
        <v>4</v>
      </c>
      <c r="B39">
        <v>9160</v>
      </c>
      <c r="C39" s="2">
        <v>120</v>
      </c>
      <c r="D39" s="2">
        <v>1024</v>
      </c>
      <c r="E39" s="2">
        <v>229790</v>
      </c>
      <c r="F39" s="2">
        <v>3218466</v>
      </c>
      <c r="G39" s="2">
        <f t="shared" si="3"/>
        <v>1.9149166666666668</v>
      </c>
      <c r="H39" s="2">
        <f t="shared" si="4"/>
        <v>26.820550000000001</v>
      </c>
      <c r="I39" s="2">
        <f t="shared" si="2"/>
        <v>28.735466666666667</v>
      </c>
      <c r="J39"/>
    </row>
    <row r="40" spans="1:10" x14ac:dyDescent="0.3">
      <c r="A40" t="s">
        <v>4</v>
      </c>
      <c r="B40">
        <v>9160</v>
      </c>
      <c r="C40" s="2">
        <v>120</v>
      </c>
      <c r="D40" s="2">
        <v>10240</v>
      </c>
      <c r="E40" s="2">
        <v>2169466</v>
      </c>
      <c r="F40" s="2">
        <v>3218595</v>
      </c>
      <c r="G40" s="2">
        <f t="shared" si="3"/>
        <v>18.078883333333334</v>
      </c>
      <c r="H40" s="2">
        <f t="shared" si="4"/>
        <v>26.821625000000001</v>
      </c>
      <c r="I40" s="2">
        <f t="shared" si="2"/>
        <v>44.900508333333335</v>
      </c>
      <c r="J40"/>
    </row>
    <row r="41" spans="1:10" x14ac:dyDescent="0.3">
      <c r="A41" t="s">
        <v>4</v>
      </c>
      <c r="B41">
        <v>9160</v>
      </c>
      <c r="C41" s="2">
        <v>120</v>
      </c>
      <c r="D41" s="2">
        <v>51200</v>
      </c>
      <c r="E41" s="2">
        <v>10756571</v>
      </c>
      <c r="F41" s="2">
        <v>3219272</v>
      </c>
      <c r="G41" s="2">
        <f t="shared" si="3"/>
        <v>89.638091666666668</v>
      </c>
      <c r="H41" s="2">
        <f t="shared" si="4"/>
        <v>26.827266666666667</v>
      </c>
      <c r="I41" s="2">
        <f t="shared" si="2"/>
        <v>116.46535833333334</v>
      </c>
      <c r="J41"/>
    </row>
    <row r="42" spans="1:10" x14ac:dyDescent="0.3">
      <c r="A42" t="s">
        <v>4</v>
      </c>
      <c r="B42">
        <v>9160</v>
      </c>
      <c r="C42" s="2">
        <v>120</v>
      </c>
      <c r="D42" s="2">
        <v>102400</v>
      </c>
      <c r="E42" s="2">
        <v>21510964</v>
      </c>
      <c r="F42" s="2">
        <v>3218986</v>
      </c>
      <c r="G42" s="2">
        <f t="shared" si="3"/>
        <v>179.25803333333334</v>
      </c>
      <c r="H42" s="2">
        <f t="shared" si="4"/>
        <v>26.824883333333336</v>
      </c>
      <c r="I42" s="2">
        <f t="shared" si="2"/>
        <v>206.08291666666668</v>
      </c>
      <c r="J42"/>
    </row>
    <row r="43" spans="1:10" x14ac:dyDescent="0.3">
      <c r="A43" t="s">
        <v>4</v>
      </c>
      <c r="B43">
        <v>9160</v>
      </c>
      <c r="C43" s="2">
        <v>120</v>
      </c>
      <c r="D43" s="2">
        <v>262144</v>
      </c>
      <c r="E43" s="2">
        <v>55003556</v>
      </c>
      <c r="F43" s="2">
        <v>3218983</v>
      </c>
      <c r="G43" s="2">
        <f t="shared" si="3"/>
        <v>458.36296666666669</v>
      </c>
      <c r="H43" s="2">
        <f t="shared" si="4"/>
        <v>26.824858333333335</v>
      </c>
      <c r="I43" s="2">
        <f t="shared" si="2"/>
        <v>485.18782500000003</v>
      </c>
      <c r="J43"/>
    </row>
    <row r="44" spans="1:10" x14ac:dyDescent="0.3">
      <c r="A44" t="s">
        <v>4</v>
      </c>
      <c r="B44">
        <v>9160</v>
      </c>
      <c r="C44" s="2">
        <v>120</v>
      </c>
      <c r="D44" s="2">
        <v>524288</v>
      </c>
      <c r="E44" s="2">
        <v>110004934</v>
      </c>
      <c r="F44" s="2">
        <v>3219023</v>
      </c>
      <c r="G44" s="2">
        <f t="shared" si="3"/>
        <v>916.7077833333334</v>
      </c>
      <c r="H44" s="2">
        <f t="shared" si="4"/>
        <v>26.825191666666669</v>
      </c>
      <c r="I44" s="2">
        <f t="shared" si="2"/>
        <v>943.53297500000008</v>
      </c>
      <c r="J44"/>
    </row>
    <row r="45" spans="1:10" x14ac:dyDescent="0.3">
      <c r="A45" t="s">
        <v>4</v>
      </c>
      <c r="B45">
        <v>9160</v>
      </c>
      <c r="C45" s="2">
        <v>120</v>
      </c>
      <c r="D45" s="2">
        <v>1048576</v>
      </c>
      <c r="E45" s="2">
        <v>219980431</v>
      </c>
      <c r="F45" s="2">
        <v>3218351</v>
      </c>
      <c r="G45" s="2">
        <f t="shared" si="3"/>
        <v>1833.1702583333333</v>
      </c>
      <c r="H45" s="2">
        <f t="shared" si="4"/>
        <v>26.819591666666668</v>
      </c>
      <c r="I45" s="2">
        <f t="shared" si="2"/>
        <v>1859.9898499999999</v>
      </c>
      <c r="J45"/>
    </row>
    <row r="46" spans="1:10" x14ac:dyDescent="0.3">
      <c r="A46" t="s">
        <v>4</v>
      </c>
      <c r="B46">
        <v>9160</v>
      </c>
      <c r="C46" s="2">
        <v>120</v>
      </c>
      <c r="D46" s="2">
        <v>1900000</v>
      </c>
      <c r="E46" s="2">
        <v>398566317</v>
      </c>
      <c r="F46" s="2">
        <v>3219325</v>
      </c>
      <c r="G46" s="2">
        <f t="shared" si="3"/>
        <v>3321.3859750000001</v>
      </c>
      <c r="H46" s="2">
        <f t="shared" si="4"/>
        <v>26.827708333333334</v>
      </c>
      <c r="I46" s="2">
        <f t="shared" si="2"/>
        <v>3348.2136833333334</v>
      </c>
      <c r="J46"/>
    </row>
    <row r="47" spans="1:10" x14ac:dyDescent="0.3">
      <c r="A47" t="s">
        <v>5</v>
      </c>
      <c r="B47">
        <v>10136</v>
      </c>
      <c r="C47" s="2">
        <v>4</v>
      </c>
      <c r="D47" s="2">
        <v>264</v>
      </c>
      <c r="E47" s="2">
        <v>33265</v>
      </c>
      <c r="F47" s="2">
        <v>2479925</v>
      </c>
      <c r="G47" s="2">
        <f t="shared" si="3"/>
        <v>8.3162500000000001</v>
      </c>
      <c r="H47" s="2">
        <f t="shared" si="4"/>
        <v>619.98125000000005</v>
      </c>
      <c r="I47" s="2">
        <f t="shared" si="2"/>
        <v>628.29750000000001</v>
      </c>
      <c r="J47"/>
    </row>
    <row r="48" spans="1:10" x14ac:dyDescent="0.3">
      <c r="A48" t="s">
        <v>5</v>
      </c>
      <c r="B48">
        <v>10136</v>
      </c>
      <c r="C48" s="2">
        <v>4</v>
      </c>
      <c r="D48" s="2">
        <v>1024</v>
      </c>
      <c r="E48" s="2">
        <v>87955</v>
      </c>
      <c r="F48" s="2">
        <v>2479498</v>
      </c>
      <c r="G48" s="2">
        <f t="shared" si="3"/>
        <v>21.98875</v>
      </c>
      <c r="H48" s="2">
        <f t="shared" si="4"/>
        <v>619.87450000000001</v>
      </c>
      <c r="I48" s="2">
        <f t="shared" si="2"/>
        <v>641.86324999999999</v>
      </c>
      <c r="J48"/>
    </row>
    <row r="49" spans="1:10" x14ac:dyDescent="0.3">
      <c r="A49" t="s">
        <v>5</v>
      </c>
      <c r="B49">
        <v>10136</v>
      </c>
      <c r="C49" s="2">
        <v>4</v>
      </c>
      <c r="D49" s="2">
        <v>10240</v>
      </c>
      <c r="E49" s="2">
        <v>824459</v>
      </c>
      <c r="F49" s="2">
        <v>2479977</v>
      </c>
      <c r="G49" s="2">
        <f t="shared" si="3"/>
        <v>206.11475000000002</v>
      </c>
      <c r="H49" s="2">
        <f t="shared" si="4"/>
        <v>619.99424999999997</v>
      </c>
      <c r="I49" s="2">
        <f t="shared" si="2"/>
        <v>826.10899999999992</v>
      </c>
      <c r="J49"/>
    </row>
    <row r="50" spans="1:10" x14ac:dyDescent="0.3">
      <c r="A50" t="s">
        <v>5</v>
      </c>
      <c r="B50">
        <v>10136</v>
      </c>
      <c r="C50" s="2">
        <v>4</v>
      </c>
      <c r="D50" s="2">
        <v>51200</v>
      </c>
      <c r="E50" s="2">
        <v>4085649</v>
      </c>
      <c r="F50" s="2">
        <v>2480328</v>
      </c>
      <c r="G50" s="2">
        <f t="shared" si="3"/>
        <v>1021.41225</v>
      </c>
      <c r="H50" s="2">
        <f t="shared" si="4"/>
        <v>620.08199999999999</v>
      </c>
      <c r="I50" s="2">
        <f t="shared" si="2"/>
        <v>1641.49425</v>
      </c>
      <c r="J50"/>
    </row>
    <row r="51" spans="1:10" x14ac:dyDescent="0.3">
      <c r="A51" t="s">
        <v>5</v>
      </c>
      <c r="B51">
        <v>10136</v>
      </c>
      <c r="C51" s="2">
        <v>4</v>
      </c>
      <c r="D51" s="2">
        <v>102400</v>
      </c>
      <c r="E51" s="2">
        <v>8169599</v>
      </c>
      <c r="F51" s="2">
        <v>2479316</v>
      </c>
      <c r="G51" s="2">
        <f t="shared" si="3"/>
        <v>2042.39975</v>
      </c>
      <c r="H51" s="2">
        <f t="shared" si="4"/>
        <v>619.82900000000006</v>
      </c>
      <c r="I51" s="2">
        <f t="shared" si="2"/>
        <v>2662.2287500000002</v>
      </c>
      <c r="J51"/>
    </row>
    <row r="52" spans="1:10" x14ac:dyDescent="0.3">
      <c r="A52" t="s">
        <v>5</v>
      </c>
      <c r="B52">
        <v>10136</v>
      </c>
      <c r="C52" s="2">
        <v>4</v>
      </c>
      <c r="D52" s="2">
        <v>262144</v>
      </c>
      <c r="E52" s="2">
        <v>20889235</v>
      </c>
      <c r="F52" s="2">
        <v>2479588</v>
      </c>
      <c r="G52" s="2">
        <f t="shared" si="3"/>
        <v>5222.3087500000001</v>
      </c>
      <c r="H52" s="2">
        <f t="shared" si="4"/>
        <v>619.89700000000005</v>
      </c>
      <c r="I52" s="2">
        <f t="shared" si="2"/>
        <v>5842.2057500000001</v>
      </c>
      <c r="J52"/>
    </row>
    <row r="53" spans="1:10" x14ac:dyDescent="0.3">
      <c r="A53" t="s">
        <v>5</v>
      </c>
      <c r="B53">
        <v>10136</v>
      </c>
      <c r="C53" s="2">
        <v>4</v>
      </c>
      <c r="D53" s="2">
        <v>524288</v>
      </c>
      <c r="E53" s="2">
        <v>41776771</v>
      </c>
      <c r="F53" s="2">
        <v>2479975</v>
      </c>
      <c r="G53" s="2">
        <f t="shared" si="3"/>
        <v>10444.19275</v>
      </c>
      <c r="H53" s="2">
        <f t="shared" si="4"/>
        <v>619.99374999999998</v>
      </c>
      <c r="I53" s="2">
        <f t="shared" si="2"/>
        <v>11064.1865</v>
      </c>
      <c r="J53"/>
    </row>
    <row r="54" spans="1:10" x14ac:dyDescent="0.3">
      <c r="A54" t="s">
        <v>5</v>
      </c>
      <c r="B54">
        <v>10136</v>
      </c>
      <c r="C54" s="2">
        <v>4</v>
      </c>
      <c r="D54" s="2">
        <v>1048576</v>
      </c>
      <c r="E54" s="2">
        <v>83541893</v>
      </c>
      <c r="F54" s="2">
        <v>2479689</v>
      </c>
      <c r="G54" s="2">
        <f t="shared" si="3"/>
        <v>20885.473249999999</v>
      </c>
      <c r="H54" s="2">
        <f t="shared" si="4"/>
        <v>619.92224999999996</v>
      </c>
      <c r="I54" s="2">
        <f t="shared" si="2"/>
        <v>21505.395499999999</v>
      </c>
      <c r="J54"/>
    </row>
    <row r="55" spans="1:10" x14ac:dyDescent="0.3">
      <c r="A55" t="s">
        <v>5</v>
      </c>
      <c r="B55">
        <v>10136</v>
      </c>
      <c r="C55" s="2">
        <v>4</v>
      </c>
      <c r="D55" s="2">
        <v>1900000</v>
      </c>
      <c r="E55" s="2">
        <v>151363149</v>
      </c>
      <c r="F55" s="2">
        <v>2479581</v>
      </c>
      <c r="G55" s="2">
        <f t="shared" si="3"/>
        <v>37840.787250000001</v>
      </c>
      <c r="H55" s="2">
        <f t="shared" si="4"/>
        <v>619.89525000000003</v>
      </c>
      <c r="I55" s="2">
        <f t="shared" si="2"/>
        <v>38460.682500000003</v>
      </c>
      <c r="J55"/>
    </row>
    <row r="56" spans="1:10" x14ac:dyDescent="0.3">
      <c r="A56" t="s">
        <v>5</v>
      </c>
      <c r="B56">
        <v>10136</v>
      </c>
      <c r="C56" s="2">
        <v>20</v>
      </c>
      <c r="D56" s="2">
        <v>264</v>
      </c>
      <c r="E56" s="2">
        <v>33224</v>
      </c>
      <c r="F56" s="2">
        <v>2477085</v>
      </c>
      <c r="G56" s="2">
        <f t="shared" si="3"/>
        <v>1.6612</v>
      </c>
      <c r="H56" s="2">
        <f t="shared" si="4"/>
        <v>123.85425000000001</v>
      </c>
      <c r="I56" s="2">
        <f t="shared" si="2"/>
        <v>125.51545</v>
      </c>
    </row>
    <row r="57" spans="1:10" x14ac:dyDescent="0.3">
      <c r="A57" t="s">
        <v>5</v>
      </c>
      <c r="B57">
        <v>10136</v>
      </c>
      <c r="C57" s="2">
        <v>20</v>
      </c>
      <c r="D57" s="2">
        <v>1024</v>
      </c>
      <c r="E57" s="2">
        <v>87854</v>
      </c>
      <c r="F57" s="2">
        <v>2476658</v>
      </c>
      <c r="G57" s="2">
        <f t="shared" si="3"/>
        <v>4.3927000000000005</v>
      </c>
      <c r="H57" s="2">
        <f t="shared" si="4"/>
        <v>123.83290000000001</v>
      </c>
      <c r="I57" s="2">
        <f t="shared" si="2"/>
        <v>128.22560000000001</v>
      </c>
    </row>
    <row r="58" spans="1:10" x14ac:dyDescent="0.3">
      <c r="A58" t="s">
        <v>5</v>
      </c>
      <c r="B58">
        <v>10136</v>
      </c>
      <c r="C58" s="2">
        <v>20</v>
      </c>
      <c r="D58" s="2">
        <v>10240</v>
      </c>
      <c r="E58" s="2">
        <v>823542</v>
      </c>
      <c r="F58" s="2">
        <v>2477138</v>
      </c>
      <c r="G58" s="2">
        <f t="shared" si="3"/>
        <v>41.177100000000003</v>
      </c>
      <c r="H58" s="2">
        <f t="shared" si="4"/>
        <v>123.85690000000001</v>
      </c>
      <c r="I58" s="2">
        <f t="shared" si="2"/>
        <v>165.03400000000002</v>
      </c>
    </row>
    <row r="59" spans="1:10" x14ac:dyDescent="0.3">
      <c r="A59" t="s">
        <v>5</v>
      </c>
      <c r="B59">
        <v>10136</v>
      </c>
      <c r="C59" s="2">
        <v>20</v>
      </c>
      <c r="D59" s="2">
        <v>51200</v>
      </c>
      <c r="E59" s="2">
        <v>4081120</v>
      </c>
      <c r="F59" s="2">
        <v>2477491</v>
      </c>
      <c r="G59" s="2">
        <f t="shared" si="3"/>
        <v>204.05600000000001</v>
      </c>
      <c r="H59" s="2">
        <f t="shared" si="4"/>
        <v>123.87455</v>
      </c>
      <c r="I59" s="2">
        <f t="shared" si="2"/>
        <v>327.93055000000004</v>
      </c>
    </row>
    <row r="60" spans="1:10" x14ac:dyDescent="0.3">
      <c r="A60" t="s">
        <v>5</v>
      </c>
      <c r="B60">
        <v>10136</v>
      </c>
      <c r="C60" s="2">
        <v>20</v>
      </c>
      <c r="D60" s="2">
        <v>102400</v>
      </c>
      <c r="E60" s="2">
        <v>8160546</v>
      </c>
      <c r="F60" s="2">
        <v>2476477</v>
      </c>
      <c r="G60" s="2">
        <f t="shared" si="3"/>
        <v>408.02730000000003</v>
      </c>
      <c r="H60" s="2">
        <f t="shared" si="4"/>
        <v>123.82385000000001</v>
      </c>
      <c r="I60" s="2">
        <f t="shared" si="2"/>
        <v>531.85115000000008</v>
      </c>
    </row>
    <row r="61" spans="1:10" x14ac:dyDescent="0.3">
      <c r="A61" t="s">
        <v>5</v>
      </c>
      <c r="B61">
        <v>10136</v>
      </c>
      <c r="C61" s="2">
        <v>20</v>
      </c>
      <c r="D61" s="2">
        <v>262144</v>
      </c>
      <c r="E61" s="2">
        <v>20866094</v>
      </c>
      <c r="F61" s="2">
        <v>2476748</v>
      </c>
      <c r="G61" s="2">
        <f t="shared" si="3"/>
        <v>1043.3047000000001</v>
      </c>
      <c r="H61" s="2">
        <f t="shared" si="4"/>
        <v>123.8374</v>
      </c>
      <c r="I61" s="2">
        <f t="shared" si="2"/>
        <v>1167.1421</v>
      </c>
    </row>
    <row r="62" spans="1:10" x14ac:dyDescent="0.3">
      <c r="A62" t="s">
        <v>5</v>
      </c>
      <c r="B62">
        <v>10136</v>
      </c>
      <c r="C62" s="2">
        <v>20</v>
      </c>
      <c r="D62" s="2">
        <v>524288</v>
      </c>
      <c r="E62" s="2">
        <v>41730494</v>
      </c>
      <c r="F62" s="2">
        <v>2477135</v>
      </c>
      <c r="G62" s="2">
        <f t="shared" si="3"/>
        <v>2086.5246999999999</v>
      </c>
      <c r="H62" s="2">
        <f t="shared" si="4"/>
        <v>123.85675000000001</v>
      </c>
      <c r="I62" s="2">
        <f t="shared" si="2"/>
        <v>2210.3814499999999</v>
      </c>
    </row>
    <row r="63" spans="1:10" x14ac:dyDescent="0.3">
      <c r="A63" t="s">
        <v>5</v>
      </c>
      <c r="B63">
        <v>10136</v>
      </c>
      <c r="C63" s="2">
        <v>20</v>
      </c>
      <c r="D63" s="2">
        <v>1048576</v>
      </c>
      <c r="E63" s="2">
        <v>83449356</v>
      </c>
      <c r="F63" s="2">
        <v>2476849</v>
      </c>
      <c r="G63" s="2">
        <f t="shared" si="3"/>
        <v>4172.4678000000004</v>
      </c>
      <c r="H63" s="2">
        <f t="shared" si="4"/>
        <v>123.84245</v>
      </c>
      <c r="I63" s="2">
        <f t="shared" si="2"/>
        <v>4296.3102500000005</v>
      </c>
    </row>
    <row r="64" spans="1:10" x14ac:dyDescent="0.3">
      <c r="A64" t="s">
        <v>5</v>
      </c>
      <c r="B64">
        <v>10136</v>
      </c>
      <c r="C64" s="2">
        <v>20</v>
      </c>
      <c r="D64" s="2">
        <v>1900000</v>
      </c>
      <c r="E64" s="2">
        <v>151195492</v>
      </c>
      <c r="F64" s="2">
        <v>2476741</v>
      </c>
      <c r="G64" s="2">
        <f t="shared" si="3"/>
        <v>7559.7746000000006</v>
      </c>
      <c r="H64" s="2">
        <f t="shared" si="4"/>
        <v>123.83705</v>
      </c>
      <c r="I64" s="2">
        <f t="shared" si="2"/>
        <v>7683.6116500000007</v>
      </c>
    </row>
    <row r="65" spans="1:10" x14ac:dyDescent="0.3">
      <c r="A65" t="s">
        <v>5</v>
      </c>
      <c r="B65">
        <v>10136</v>
      </c>
      <c r="C65" s="2">
        <v>40</v>
      </c>
      <c r="D65" s="2">
        <v>264</v>
      </c>
      <c r="E65" s="2">
        <v>33355</v>
      </c>
      <c r="F65" s="2">
        <v>2485221</v>
      </c>
      <c r="G65" s="2">
        <f t="shared" si="3"/>
        <v>0.83387500000000003</v>
      </c>
      <c r="H65" s="2">
        <f t="shared" si="4"/>
        <v>62.130525000000006</v>
      </c>
      <c r="I65" s="2">
        <f t="shared" si="2"/>
        <v>62.964400000000005</v>
      </c>
      <c r="J65"/>
    </row>
    <row r="66" spans="1:10" x14ac:dyDescent="0.3">
      <c r="A66" t="s">
        <v>5</v>
      </c>
      <c r="B66">
        <v>10136</v>
      </c>
      <c r="C66" s="2">
        <v>40</v>
      </c>
      <c r="D66" s="2">
        <v>1024</v>
      </c>
      <c r="E66" s="2">
        <v>88266</v>
      </c>
      <c r="F66" s="2">
        <v>2484784</v>
      </c>
      <c r="G66" s="2">
        <f t="shared" ref="G66:G97" si="5">E66*(1/(C66*1000))</f>
        <v>2.2066500000000002</v>
      </c>
      <c r="H66" s="2">
        <f t="shared" ref="H66:H97" si="6">F66*(1/(C66*1000))</f>
        <v>62.119600000000005</v>
      </c>
      <c r="I66" s="2">
        <f t="shared" si="2"/>
        <v>64.326250000000002</v>
      </c>
      <c r="J66"/>
    </row>
    <row r="67" spans="1:10" x14ac:dyDescent="0.3">
      <c r="A67" t="s">
        <v>5</v>
      </c>
      <c r="B67">
        <v>10136</v>
      </c>
      <c r="C67" s="2">
        <v>40</v>
      </c>
      <c r="D67" s="2">
        <v>10240</v>
      </c>
      <c r="E67" s="2">
        <v>827214</v>
      </c>
      <c r="F67" s="2">
        <v>2485249</v>
      </c>
      <c r="G67" s="2">
        <f t="shared" si="5"/>
        <v>20.680350000000001</v>
      </c>
      <c r="H67" s="2">
        <f t="shared" si="6"/>
        <v>62.131225000000001</v>
      </c>
      <c r="I67" s="2">
        <f t="shared" ref="I67:I130" si="7">G67+H67</f>
        <v>82.811575000000005</v>
      </c>
      <c r="J67"/>
    </row>
    <row r="68" spans="1:10" x14ac:dyDescent="0.3">
      <c r="A68" t="s">
        <v>5</v>
      </c>
      <c r="B68">
        <v>10136</v>
      </c>
      <c r="C68" s="2">
        <v>40</v>
      </c>
      <c r="D68" s="2">
        <v>51200</v>
      </c>
      <c r="E68" s="2">
        <v>4099243</v>
      </c>
      <c r="F68" s="2">
        <v>2485626</v>
      </c>
      <c r="G68" s="2">
        <f t="shared" si="5"/>
        <v>102.481075</v>
      </c>
      <c r="H68" s="2">
        <f t="shared" si="6"/>
        <v>62.140650000000001</v>
      </c>
      <c r="I68" s="2">
        <f t="shared" si="7"/>
        <v>164.621725</v>
      </c>
      <c r="J68"/>
    </row>
    <row r="69" spans="1:10" x14ac:dyDescent="0.3">
      <c r="A69" t="s">
        <v>5</v>
      </c>
      <c r="B69">
        <v>10136</v>
      </c>
      <c r="C69" s="2">
        <v>40</v>
      </c>
      <c r="D69" s="2">
        <v>102400</v>
      </c>
      <c r="E69" s="2">
        <v>8196725</v>
      </c>
      <c r="F69" s="2">
        <v>2484574</v>
      </c>
      <c r="G69" s="2">
        <f t="shared" si="5"/>
        <v>204.918125</v>
      </c>
      <c r="H69" s="2">
        <f t="shared" si="6"/>
        <v>62.114350000000002</v>
      </c>
      <c r="I69" s="2">
        <f t="shared" si="7"/>
        <v>267.03247499999998</v>
      </c>
      <c r="J69"/>
    </row>
    <row r="70" spans="1:10" x14ac:dyDescent="0.3">
      <c r="A70" t="s">
        <v>5</v>
      </c>
      <c r="B70">
        <v>10136</v>
      </c>
      <c r="C70" s="2">
        <v>40</v>
      </c>
      <c r="D70" s="2">
        <v>262144</v>
      </c>
      <c r="E70" s="2">
        <v>20958666</v>
      </c>
      <c r="F70" s="2">
        <v>2484861</v>
      </c>
      <c r="G70" s="2">
        <f t="shared" si="5"/>
        <v>523.96665000000007</v>
      </c>
      <c r="H70" s="2">
        <f t="shared" si="6"/>
        <v>62.121525000000005</v>
      </c>
      <c r="I70" s="2">
        <f t="shared" si="7"/>
        <v>586.08817500000009</v>
      </c>
      <c r="J70"/>
    </row>
    <row r="71" spans="1:10" x14ac:dyDescent="0.3">
      <c r="A71" t="s">
        <v>5</v>
      </c>
      <c r="B71">
        <v>10136</v>
      </c>
      <c r="C71" s="2">
        <v>40</v>
      </c>
      <c r="D71" s="2">
        <v>524288</v>
      </c>
      <c r="E71" s="2">
        <v>41915571</v>
      </c>
      <c r="F71" s="2">
        <v>2485247</v>
      </c>
      <c r="G71" s="2">
        <f t="shared" si="5"/>
        <v>1047.889275</v>
      </c>
      <c r="H71" s="2">
        <f t="shared" si="6"/>
        <v>62.131175000000006</v>
      </c>
      <c r="I71" s="2">
        <f t="shared" si="7"/>
        <v>1110.02045</v>
      </c>
      <c r="J71" s="2"/>
    </row>
    <row r="72" spans="1:10" x14ac:dyDescent="0.3">
      <c r="A72" t="s">
        <v>5</v>
      </c>
      <c r="B72">
        <v>10136</v>
      </c>
      <c r="C72" s="2">
        <v>40</v>
      </c>
      <c r="D72" s="2">
        <v>1048576</v>
      </c>
      <c r="E72" s="2">
        <v>83819474</v>
      </c>
      <c r="F72" s="2">
        <v>2484955</v>
      </c>
      <c r="G72" s="2">
        <f t="shared" si="5"/>
        <v>2095.4868500000002</v>
      </c>
      <c r="H72" s="2">
        <f t="shared" si="6"/>
        <v>62.123875000000005</v>
      </c>
      <c r="I72" s="2">
        <f t="shared" si="7"/>
        <v>2157.6107250000005</v>
      </c>
      <c r="J72"/>
    </row>
    <row r="73" spans="1:10" x14ac:dyDescent="0.3">
      <c r="A73" t="s">
        <v>5</v>
      </c>
      <c r="B73">
        <v>10136</v>
      </c>
      <c r="C73" s="2">
        <v>40</v>
      </c>
      <c r="D73" s="2">
        <v>1900000</v>
      </c>
      <c r="E73" s="2">
        <v>151866129</v>
      </c>
      <c r="F73" s="2">
        <v>2484834</v>
      </c>
      <c r="G73" s="2">
        <f t="shared" si="5"/>
        <v>3796.653225</v>
      </c>
      <c r="H73" s="2">
        <f t="shared" si="6"/>
        <v>62.120850000000004</v>
      </c>
      <c r="I73" s="2">
        <f t="shared" si="7"/>
        <v>3858.7740749999998</v>
      </c>
      <c r="J73"/>
    </row>
    <row r="74" spans="1:10" x14ac:dyDescent="0.3">
      <c r="A74" t="s">
        <v>5</v>
      </c>
      <c r="B74">
        <v>10136</v>
      </c>
      <c r="C74" s="2">
        <v>80</v>
      </c>
      <c r="D74" s="2">
        <v>264</v>
      </c>
      <c r="E74" s="2">
        <v>58709</v>
      </c>
      <c r="F74" s="2">
        <v>3961303</v>
      </c>
      <c r="G74" s="2">
        <f t="shared" si="5"/>
        <v>0.73386250000000008</v>
      </c>
      <c r="H74" s="2">
        <f t="shared" si="6"/>
        <v>49.516287500000004</v>
      </c>
      <c r="I74" s="2">
        <f t="shared" si="7"/>
        <v>50.250150000000005</v>
      </c>
      <c r="J74"/>
    </row>
    <row r="75" spans="1:10" x14ac:dyDescent="0.3">
      <c r="A75" t="s">
        <v>5</v>
      </c>
      <c r="B75">
        <v>10136</v>
      </c>
      <c r="C75" s="2">
        <v>80</v>
      </c>
      <c r="D75" s="2">
        <v>1024</v>
      </c>
      <c r="E75" s="2">
        <v>155970</v>
      </c>
      <c r="F75" s="2">
        <v>3960860</v>
      </c>
      <c r="G75" s="2">
        <f t="shared" si="5"/>
        <v>1.9496250000000002</v>
      </c>
      <c r="H75" s="2">
        <f t="shared" si="6"/>
        <v>49.510750000000002</v>
      </c>
      <c r="I75" s="2">
        <f t="shared" si="7"/>
        <v>51.460374999999999</v>
      </c>
      <c r="J75"/>
    </row>
    <row r="76" spans="1:10" x14ac:dyDescent="0.3">
      <c r="A76" t="s">
        <v>5</v>
      </c>
      <c r="B76">
        <v>10136</v>
      </c>
      <c r="C76" s="2">
        <v>80</v>
      </c>
      <c r="D76" s="2">
        <v>10240</v>
      </c>
      <c r="E76" s="2">
        <v>1469578</v>
      </c>
      <c r="F76" s="2">
        <v>3961310</v>
      </c>
      <c r="G76" s="2">
        <f t="shared" si="5"/>
        <v>18.369725000000003</v>
      </c>
      <c r="H76" s="2">
        <f t="shared" si="6"/>
        <v>49.516375000000004</v>
      </c>
      <c r="I76" s="2">
        <f t="shared" si="7"/>
        <v>67.886099999999999</v>
      </c>
      <c r="J76"/>
    </row>
    <row r="77" spans="1:10" x14ac:dyDescent="0.3">
      <c r="A77" t="s">
        <v>5</v>
      </c>
      <c r="B77">
        <v>10136</v>
      </c>
      <c r="C77" s="2">
        <v>80</v>
      </c>
      <c r="D77" s="2">
        <v>51200</v>
      </c>
      <c r="E77" s="2">
        <v>7285368</v>
      </c>
      <c r="F77" s="2">
        <v>3961694</v>
      </c>
      <c r="G77" s="2">
        <f t="shared" si="5"/>
        <v>91.067100000000011</v>
      </c>
      <c r="H77" s="2">
        <f t="shared" si="6"/>
        <v>49.521174999999999</v>
      </c>
      <c r="I77" s="2">
        <f t="shared" si="7"/>
        <v>140.58827500000001</v>
      </c>
      <c r="J77"/>
    </row>
    <row r="78" spans="1:10" x14ac:dyDescent="0.3">
      <c r="A78" t="s">
        <v>5</v>
      </c>
      <c r="B78">
        <v>10136</v>
      </c>
      <c r="C78" s="2">
        <v>80</v>
      </c>
      <c r="D78" s="2">
        <v>102400</v>
      </c>
      <c r="E78" s="2">
        <v>14568784</v>
      </c>
      <c r="F78" s="2">
        <v>3960647</v>
      </c>
      <c r="G78" s="2">
        <f t="shared" si="5"/>
        <v>182.10980000000001</v>
      </c>
      <c r="H78" s="2">
        <f t="shared" si="6"/>
        <v>49.508087500000002</v>
      </c>
      <c r="I78" s="2">
        <f t="shared" si="7"/>
        <v>231.61788749999999</v>
      </c>
      <c r="J78"/>
    </row>
    <row r="79" spans="1:10" x14ac:dyDescent="0.3">
      <c r="A79" t="s">
        <v>5</v>
      </c>
      <c r="B79">
        <v>10136</v>
      </c>
      <c r="C79" s="2">
        <v>80</v>
      </c>
      <c r="D79" s="2">
        <v>262144</v>
      </c>
      <c r="E79" s="2">
        <v>37252294</v>
      </c>
      <c r="F79" s="2">
        <v>3960931</v>
      </c>
      <c r="G79" s="2">
        <f t="shared" si="5"/>
        <v>465.65367500000002</v>
      </c>
      <c r="H79" s="2">
        <f t="shared" si="6"/>
        <v>49.511637499999999</v>
      </c>
      <c r="I79" s="2">
        <f t="shared" si="7"/>
        <v>515.16531250000003</v>
      </c>
      <c r="J79"/>
    </row>
    <row r="80" spans="1:10" x14ac:dyDescent="0.3">
      <c r="A80" t="s">
        <v>5</v>
      </c>
      <c r="B80">
        <v>10136</v>
      </c>
      <c r="C80" s="2">
        <v>80</v>
      </c>
      <c r="D80" s="2">
        <v>524288</v>
      </c>
      <c r="E80" s="2">
        <v>74502636</v>
      </c>
      <c r="F80" s="2">
        <v>3961315</v>
      </c>
      <c r="G80" s="2">
        <f t="shared" si="5"/>
        <v>931.28295000000003</v>
      </c>
      <c r="H80" s="2">
        <f t="shared" si="6"/>
        <v>49.516437500000002</v>
      </c>
      <c r="I80" s="2">
        <f t="shared" si="7"/>
        <v>980.79938750000008</v>
      </c>
      <c r="J80"/>
    </row>
    <row r="81" spans="1:10" x14ac:dyDescent="0.3">
      <c r="A81" t="s">
        <v>5</v>
      </c>
      <c r="B81">
        <v>10136</v>
      </c>
      <c r="C81" s="2">
        <v>80</v>
      </c>
      <c r="D81" s="2">
        <v>1048576</v>
      </c>
      <c r="E81" s="2">
        <v>148985146</v>
      </c>
      <c r="F81" s="2">
        <v>3961027</v>
      </c>
      <c r="G81" s="2">
        <f t="shared" si="5"/>
        <v>1862.3143250000001</v>
      </c>
      <c r="H81" s="2">
        <f t="shared" si="6"/>
        <v>49.512837500000003</v>
      </c>
      <c r="I81" s="2">
        <f t="shared" si="7"/>
        <v>1911.8271625</v>
      </c>
      <c r="J81"/>
    </row>
    <row r="82" spans="1:10" x14ac:dyDescent="0.3">
      <c r="A82" t="s">
        <v>5</v>
      </c>
      <c r="B82">
        <v>10136</v>
      </c>
      <c r="C82" s="2">
        <v>80</v>
      </c>
      <c r="D82" s="2">
        <v>1900000</v>
      </c>
      <c r="E82" s="2">
        <v>269935152</v>
      </c>
      <c r="F82" s="2">
        <v>3960906</v>
      </c>
      <c r="G82" s="2">
        <f t="shared" si="5"/>
        <v>3374.1894000000002</v>
      </c>
      <c r="H82" s="2">
        <f t="shared" si="6"/>
        <v>49.511324999999999</v>
      </c>
      <c r="I82" s="2">
        <f t="shared" si="7"/>
        <v>3423.7007250000001</v>
      </c>
      <c r="J82"/>
    </row>
    <row r="83" spans="1:10" x14ac:dyDescent="0.3">
      <c r="A83" t="s">
        <v>5</v>
      </c>
      <c r="B83">
        <v>10136</v>
      </c>
      <c r="C83" s="2">
        <v>120</v>
      </c>
      <c r="D83" s="2">
        <v>264</v>
      </c>
      <c r="E83" s="2">
        <v>86430</v>
      </c>
      <c r="F83" s="2">
        <v>5578993</v>
      </c>
      <c r="G83" s="2">
        <f t="shared" si="5"/>
        <v>0.72025000000000006</v>
      </c>
      <c r="H83" s="2">
        <f t="shared" si="6"/>
        <v>46.491608333333339</v>
      </c>
      <c r="I83" s="2">
        <f t="shared" si="7"/>
        <v>47.211858333333339</v>
      </c>
      <c r="J83"/>
    </row>
    <row r="84" spans="1:10" x14ac:dyDescent="0.3">
      <c r="A84" t="s">
        <v>5</v>
      </c>
      <c r="B84">
        <v>10136</v>
      </c>
      <c r="C84" s="2">
        <v>120</v>
      </c>
      <c r="D84" s="2">
        <v>1024</v>
      </c>
      <c r="E84" s="2">
        <v>229790</v>
      </c>
      <c r="F84" s="2">
        <v>5578565</v>
      </c>
      <c r="G84" s="2">
        <f t="shared" si="5"/>
        <v>1.9149166666666668</v>
      </c>
      <c r="H84" s="2">
        <f t="shared" si="6"/>
        <v>46.488041666666668</v>
      </c>
      <c r="I84" s="2">
        <f t="shared" si="7"/>
        <v>48.402958333333338</v>
      </c>
      <c r="J84"/>
    </row>
    <row r="85" spans="1:10" x14ac:dyDescent="0.3">
      <c r="A85" t="s">
        <v>5</v>
      </c>
      <c r="B85">
        <v>10136</v>
      </c>
      <c r="C85" s="2">
        <v>120</v>
      </c>
      <c r="D85" s="2">
        <v>10240</v>
      </c>
      <c r="E85" s="2">
        <v>2169466</v>
      </c>
      <c r="F85" s="2">
        <v>5579013</v>
      </c>
      <c r="G85" s="2">
        <f t="shared" si="5"/>
        <v>18.078883333333334</v>
      </c>
      <c r="H85" s="2">
        <f t="shared" si="6"/>
        <v>46.491775000000004</v>
      </c>
      <c r="I85" s="2">
        <f t="shared" si="7"/>
        <v>64.570658333333341</v>
      </c>
      <c r="J85"/>
    </row>
    <row r="86" spans="1:10" x14ac:dyDescent="0.3">
      <c r="A86" t="s">
        <v>5</v>
      </c>
      <c r="B86">
        <v>10136</v>
      </c>
      <c r="C86" s="2">
        <v>120</v>
      </c>
      <c r="D86" s="2">
        <v>51200</v>
      </c>
      <c r="E86" s="2">
        <v>10756571</v>
      </c>
      <c r="F86" s="2">
        <v>5579379</v>
      </c>
      <c r="G86" s="2">
        <f t="shared" si="5"/>
        <v>89.638091666666668</v>
      </c>
      <c r="H86" s="2">
        <f t="shared" si="6"/>
        <v>46.494824999999999</v>
      </c>
      <c r="I86" s="2">
        <f t="shared" si="7"/>
        <v>136.13291666666666</v>
      </c>
      <c r="J86"/>
    </row>
    <row r="87" spans="1:10" x14ac:dyDescent="0.3">
      <c r="A87" t="s">
        <v>5</v>
      </c>
      <c r="B87">
        <v>10136</v>
      </c>
      <c r="C87" s="2">
        <v>120</v>
      </c>
      <c r="D87" s="2">
        <v>102400</v>
      </c>
      <c r="E87" s="2">
        <v>21510964</v>
      </c>
      <c r="F87" s="2">
        <v>5578373</v>
      </c>
      <c r="G87" s="2">
        <f t="shared" si="5"/>
        <v>179.25803333333334</v>
      </c>
      <c r="H87" s="2">
        <f t="shared" si="6"/>
        <v>46.486441666666671</v>
      </c>
      <c r="I87" s="2">
        <f t="shared" si="7"/>
        <v>225.74447500000002</v>
      </c>
      <c r="J87"/>
    </row>
    <row r="88" spans="1:10" x14ac:dyDescent="0.3">
      <c r="A88" t="s">
        <v>5</v>
      </c>
      <c r="B88">
        <v>10136</v>
      </c>
      <c r="C88" s="2">
        <v>120</v>
      </c>
      <c r="D88" s="2">
        <v>262144</v>
      </c>
      <c r="E88" s="2">
        <v>55003556</v>
      </c>
      <c r="F88" s="2">
        <v>5578646</v>
      </c>
      <c r="G88" s="2">
        <f t="shared" si="5"/>
        <v>458.36296666666669</v>
      </c>
      <c r="H88" s="2">
        <f t="shared" si="6"/>
        <v>46.488716666666669</v>
      </c>
      <c r="I88" s="2">
        <f t="shared" si="7"/>
        <v>504.85168333333337</v>
      </c>
      <c r="J88"/>
    </row>
    <row r="89" spans="1:10" x14ac:dyDescent="0.3">
      <c r="A89" t="s">
        <v>5</v>
      </c>
      <c r="B89">
        <v>10136</v>
      </c>
      <c r="C89" s="2">
        <v>120</v>
      </c>
      <c r="D89" s="2">
        <v>524288</v>
      </c>
      <c r="E89" s="2">
        <v>110004934</v>
      </c>
      <c r="F89" s="2">
        <v>5579032</v>
      </c>
      <c r="G89" s="2">
        <f t="shared" si="5"/>
        <v>916.7077833333334</v>
      </c>
      <c r="H89" s="2">
        <f t="shared" si="6"/>
        <v>46.491933333333336</v>
      </c>
      <c r="I89" s="2">
        <f t="shared" si="7"/>
        <v>963.19971666666675</v>
      </c>
      <c r="J89"/>
    </row>
    <row r="90" spans="1:10" x14ac:dyDescent="0.3">
      <c r="A90" t="s">
        <v>5</v>
      </c>
      <c r="B90">
        <v>10136</v>
      </c>
      <c r="C90" s="2">
        <v>120</v>
      </c>
      <c r="D90" s="2">
        <v>1048576</v>
      </c>
      <c r="E90" s="2">
        <v>219980431</v>
      </c>
      <c r="F90" s="2">
        <v>5578744</v>
      </c>
      <c r="G90" s="2">
        <f t="shared" si="5"/>
        <v>1833.1702583333333</v>
      </c>
      <c r="H90" s="2">
        <f t="shared" si="6"/>
        <v>46.489533333333334</v>
      </c>
      <c r="I90" s="2">
        <f t="shared" si="7"/>
        <v>1879.6597916666667</v>
      </c>
      <c r="J90"/>
    </row>
    <row r="91" spans="1:10" x14ac:dyDescent="0.3">
      <c r="A91" t="s">
        <v>5</v>
      </c>
      <c r="B91">
        <v>10136</v>
      </c>
      <c r="C91" s="2">
        <v>120</v>
      </c>
      <c r="D91" s="2">
        <v>1900000</v>
      </c>
      <c r="E91" s="2">
        <v>398566317</v>
      </c>
      <c r="F91" s="2">
        <v>5578625</v>
      </c>
      <c r="G91" s="2">
        <f t="shared" si="5"/>
        <v>3321.3859750000001</v>
      </c>
      <c r="H91" s="2">
        <f t="shared" si="6"/>
        <v>46.48854166666667</v>
      </c>
      <c r="I91" s="2">
        <f t="shared" si="7"/>
        <v>3367.8745166666668</v>
      </c>
      <c r="J91"/>
    </row>
    <row r="92" spans="1:10" x14ac:dyDescent="0.3">
      <c r="A92" t="s">
        <v>6</v>
      </c>
      <c r="B92">
        <v>12200</v>
      </c>
      <c r="C92" s="2">
        <v>4</v>
      </c>
      <c r="D92" s="2">
        <v>264</v>
      </c>
      <c r="E92" s="2">
        <v>33265</v>
      </c>
      <c r="F92" s="2">
        <v>4309893</v>
      </c>
      <c r="G92" s="2">
        <f t="shared" si="5"/>
        <v>8.3162500000000001</v>
      </c>
      <c r="H92" s="2">
        <f t="shared" si="6"/>
        <v>1077.47325</v>
      </c>
      <c r="I92" s="2">
        <f t="shared" si="7"/>
        <v>1085.7895000000001</v>
      </c>
      <c r="J92"/>
    </row>
    <row r="93" spans="1:10" x14ac:dyDescent="0.3">
      <c r="A93" t="s">
        <v>6</v>
      </c>
      <c r="B93">
        <v>12200</v>
      </c>
      <c r="C93" s="2">
        <v>4</v>
      </c>
      <c r="D93" s="2">
        <v>1024</v>
      </c>
      <c r="E93" s="2">
        <v>87955</v>
      </c>
      <c r="F93" s="2">
        <v>4310547</v>
      </c>
      <c r="G93" s="2">
        <f t="shared" si="5"/>
        <v>21.98875</v>
      </c>
      <c r="H93" s="2">
        <f t="shared" si="6"/>
        <v>1077.6367500000001</v>
      </c>
      <c r="I93" s="2">
        <f t="shared" si="7"/>
        <v>1099.6255000000001</v>
      </c>
      <c r="J93"/>
    </row>
    <row r="94" spans="1:10" x14ac:dyDescent="0.3">
      <c r="A94" t="s">
        <v>6</v>
      </c>
      <c r="B94">
        <v>12200</v>
      </c>
      <c r="C94" s="2">
        <v>4</v>
      </c>
      <c r="D94" s="2">
        <v>10240</v>
      </c>
      <c r="E94" s="2">
        <v>824459</v>
      </c>
      <c r="F94" s="2">
        <v>4310299</v>
      </c>
      <c r="G94" s="2">
        <f t="shared" si="5"/>
        <v>206.11475000000002</v>
      </c>
      <c r="H94" s="2">
        <f t="shared" si="6"/>
        <v>1077.57475</v>
      </c>
      <c r="I94" s="2">
        <f t="shared" si="7"/>
        <v>1283.6895</v>
      </c>
      <c r="J94"/>
    </row>
    <row r="95" spans="1:10" x14ac:dyDescent="0.3">
      <c r="A95" t="s">
        <v>6</v>
      </c>
      <c r="B95">
        <v>12200</v>
      </c>
      <c r="C95" s="2">
        <v>4</v>
      </c>
      <c r="D95" s="2">
        <v>51200</v>
      </c>
      <c r="E95" s="2">
        <v>4085649</v>
      </c>
      <c r="F95" s="2">
        <v>4310437</v>
      </c>
      <c r="G95" s="2">
        <f t="shared" si="5"/>
        <v>1021.41225</v>
      </c>
      <c r="H95" s="2">
        <f t="shared" si="6"/>
        <v>1077.60925</v>
      </c>
      <c r="I95" s="2">
        <f t="shared" si="7"/>
        <v>2099.0214999999998</v>
      </c>
      <c r="J95"/>
    </row>
    <row r="96" spans="1:10" x14ac:dyDescent="0.3">
      <c r="A96" t="s">
        <v>6</v>
      </c>
      <c r="B96">
        <v>12200</v>
      </c>
      <c r="C96" s="2">
        <v>4</v>
      </c>
      <c r="D96" s="2">
        <v>102400</v>
      </c>
      <c r="E96" s="2">
        <v>8169599</v>
      </c>
      <c r="F96" s="2">
        <v>4309792</v>
      </c>
      <c r="G96" s="2">
        <f t="shared" si="5"/>
        <v>2042.39975</v>
      </c>
      <c r="H96" s="2">
        <f t="shared" si="6"/>
        <v>1077.4480000000001</v>
      </c>
      <c r="I96" s="2">
        <f t="shared" si="7"/>
        <v>3119.8477499999999</v>
      </c>
      <c r="J96"/>
    </row>
    <row r="97" spans="1:10" x14ac:dyDescent="0.3">
      <c r="A97" t="s">
        <v>6</v>
      </c>
      <c r="B97">
        <v>12200</v>
      </c>
      <c r="C97" s="2">
        <v>4</v>
      </c>
      <c r="D97" s="2">
        <v>262144</v>
      </c>
      <c r="E97" s="2">
        <v>20889235</v>
      </c>
      <c r="F97" s="2">
        <v>4310777</v>
      </c>
      <c r="G97" s="2">
        <f t="shared" si="5"/>
        <v>5222.3087500000001</v>
      </c>
      <c r="H97" s="2">
        <f t="shared" si="6"/>
        <v>1077.69425</v>
      </c>
      <c r="I97" s="2">
        <f t="shared" si="7"/>
        <v>6300.0030000000006</v>
      </c>
      <c r="J97"/>
    </row>
    <row r="98" spans="1:10" x14ac:dyDescent="0.3">
      <c r="A98" t="s">
        <v>6</v>
      </c>
      <c r="B98">
        <v>12200</v>
      </c>
      <c r="C98" s="2">
        <v>4</v>
      </c>
      <c r="D98" s="2">
        <v>524288</v>
      </c>
      <c r="E98" s="2">
        <v>41776771</v>
      </c>
      <c r="F98" s="2">
        <v>4310761</v>
      </c>
      <c r="G98" s="2">
        <f t="shared" ref="G98:G129" si="8">E98*(1/(C98*1000))</f>
        <v>10444.19275</v>
      </c>
      <c r="H98" s="2">
        <f t="shared" ref="H98:H129" si="9">F98*(1/(C98*1000))</f>
        <v>1077.6902500000001</v>
      </c>
      <c r="I98" s="2">
        <f t="shared" si="7"/>
        <v>11521.883</v>
      </c>
      <c r="J98"/>
    </row>
    <row r="99" spans="1:10" x14ac:dyDescent="0.3">
      <c r="A99" t="s">
        <v>6</v>
      </c>
      <c r="B99">
        <v>12200</v>
      </c>
      <c r="C99" s="2">
        <v>4</v>
      </c>
      <c r="D99" s="2">
        <v>1048576</v>
      </c>
      <c r="E99" s="2">
        <v>83541893</v>
      </c>
      <c r="F99" s="2">
        <v>4310425</v>
      </c>
      <c r="G99" s="2">
        <f t="shared" si="8"/>
        <v>20885.473249999999</v>
      </c>
      <c r="H99" s="2">
        <f t="shared" si="9"/>
        <v>1077.60625</v>
      </c>
      <c r="I99" s="2">
        <f t="shared" si="7"/>
        <v>21963.0795</v>
      </c>
      <c r="J99"/>
    </row>
    <row r="100" spans="1:10" x14ac:dyDescent="0.3">
      <c r="A100" t="s">
        <v>6</v>
      </c>
      <c r="B100">
        <v>12200</v>
      </c>
      <c r="C100" s="2">
        <v>4</v>
      </c>
      <c r="D100" s="2">
        <v>1900000</v>
      </c>
      <c r="E100" s="2">
        <v>151363149</v>
      </c>
      <c r="F100" s="2">
        <v>4310376</v>
      </c>
      <c r="G100" s="2">
        <f t="shared" si="8"/>
        <v>37840.787250000001</v>
      </c>
      <c r="H100" s="2">
        <f t="shared" si="9"/>
        <v>1077.5940000000001</v>
      </c>
      <c r="I100" s="2">
        <f t="shared" si="7"/>
        <v>38918.381249999999</v>
      </c>
      <c r="J100"/>
    </row>
    <row r="101" spans="1:10" x14ac:dyDescent="0.3">
      <c r="A101" t="s">
        <v>6</v>
      </c>
      <c r="B101">
        <v>12200</v>
      </c>
      <c r="C101" s="2">
        <v>20</v>
      </c>
      <c r="D101" s="2">
        <v>264</v>
      </c>
      <c r="E101" s="2">
        <v>33225</v>
      </c>
      <c r="F101" s="2">
        <v>4304931</v>
      </c>
      <c r="G101" s="2">
        <f t="shared" si="8"/>
        <v>1.6612500000000001</v>
      </c>
      <c r="H101" s="2">
        <f t="shared" si="9"/>
        <v>215.24655000000001</v>
      </c>
      <c r="I101" s="2">
        <f t="shared" si="7"/>
        <v>216.90780000000001</v>
      </c>
    </row>
    <row r="102" spans="1:10" x14ac:dyDescent="0.3">
      <c r="A102" t="s">
        <v>6</v>
      </c>
      <c r="B102">
        <v>12200</v>
      </c>
      <c r="C102" s="2">
        <v>20</v>
      </c>
      <c r="D102" s="2">
        <v>1024</v>
      </c>
      <c r="E102" s="2">
        <v>87855</v>
      </c>
      <c r="F102" s="2">
        <v>4305585</v>
      </c>
      <c r="G102" s="2">
        <f t="shared" si="8"/>
        <v>4.3927500000000004</v>
      </c>
      <c r="H102" s="2">
        <f t="shared" si="9"/>
        <v>215.27925000000002</v>
      </c>
      <c r="I102" s="2">
        <f t="shared" si="7"/>
        <v>219.67200000000003</v>
      </c>
    </row>
    <row r="103" spans="1:10" x14ac:dyDescent="0.3">
      <c r="A103" t="s">
        <v>6</v>
      </c>
      <c r="B103">
        <v>12200</v>
      </c>
      <c r="C103" s="2">
        <v>20</v>
      </c>
      <c r="D103" s="2">
        <v>10240</v>
      </c>
      <c r="E103" s="2">
        <v>823543</v>
      </c>
      <c r="F103" s="2">
        <v>4305337</v>
      </c>
      <c r="G103" s="2">
        <f t="shared" si="8"/>
        <v>41.177150000000005</v>
      </c>
      <c r="H103" s="2">
        <f t="shared" si="9"/>
        <v>215.26685000000001</v>
      </c>
      <c r="I103" s="2">
        <f t="shared" si="7"/>
        <v>256.44400000000002</v>
      </c>
    </row>
    <row r="104" spans="1:10" x14ac:dyDescent="0.3">
      <c r="A104" t="s">
        <v>6</v>
      </c>
      <c r="B104">
        <v>12200</v>
      </c>
      <c r="C104" s="2">
        <v>20</v>
      </c>
      <c r="D104" s="2">
        <v>51200</v>
      </c>
      <c r="E104" s="2">
        <v>4081121</v>
      </c>
      <c r="F104" s="2">
        <v>4305475</v>
      </c>
      <c r="G104" s="2">
        <f t="shared" si="8"/>
        <v>204.05605</v>
      </c>
      <c r="H104" s="2">
        <f t="shared" si="9"/>
        <v>215.27375000000001</v>
      </c>
      <c r="I104" s="2">
        <f t="shared" si="7"/>
        <v>419.32979999999998</v>
      </c>
    </row>
    <row r="105" spans="1:10" x14ac:dyDescent="0.3">
      <c r="A105" t="s">
        <v>6</v>
      </c>
      <c r="B105">
        <v>12200</v>
      </c>
      <c r="C105" s="2">
        <v>20</v>
      </c>
      <c r="D105" s="2">
        <v>102400</v>
      </c>
      <c r="E105" s="2">
        <v>8160547</v>
      </c>
      <c r="F105" s="2">
        <v>4304830</v>
      </c>
      <c r="G105" s="2">
        <f t="shared" si="8"/>
        <v>408.02735000000001</v>
      </c>
      <c r="H105" s="2">
        <f t="shared" si="9"/>
        <v>215.2415</v>
      </c>
      <c r="I105" s="2">
        <f t="shared" si="7"/>
        <v>623.26885000000004</v>
      </c>
    </row>
    <row r="106" spans="1:10" x14ac:dyDescent="0.3">
      <c r="A106" t="s">
        <v>6</v>
      </c>
      <c r="B106">
        <v>12200</v>
      </c>
      <c r="C106" s="2">
        <v>20</v>
      </c>
      <c r="D106" s="2">
        <v>262144</v>
      </c>
      <c r="E106" s="2">
        <v>20866095</v>
      </c>
      <c r="F106" s="2">
        <v>4305815</v>
      </c>
      <c r="G106" s="2">
        <f t="shared" si="8"/>
        <v>1043.30475</v>
      </c>
      <c r="H106" s="2">
        <f t="shared" si="9"/>
        <v>215.29075</v>
      </c>
      <c r="I106" s="2">
        <f t="shared" si="7"/>
        <v>1258.5954999999999</v>
      </c>
    </row>
    <row r="107" spans="1:10" x14ac:dyDescent="0.3">
      <c r="A107" t="s">
        <v>6</v>
      </c>
      <c r="B107">
        <v>12200</v>
      </c>
      <c r="C107" s="2">
        <v>20</v>
      </c>
      <c r="D107" s="2">
        <v>524288</v>
      </c>
      <c r="E107" s="2">
        <v>41730495</v>
      </c>
      <c r="F107" s="2">
        <v>4305799</v>
      </c>
      <c r="G107" s="2">
        <f t="shared" si="8"/>
        <v>2086.52475</v>
      </c>
      <c r="H107" s="2">
        <f t="shared" si="9"/>
        <v>215.28995</v>
      </c>
      <c r="I107" s="2">
        <f t="shared" si="7"/>
        <v>2301.8146999999999</v>
      </c>
    </row>
    <row r="108" spans="1:10" x14ac:dyDescent="0.3">
      <c r="A108" t="s">
        <v>6</v>
      </c>
      <c r="B108">
        <v>12200</v>
      </c>
      <c r="C108" s="2">
        <v>20</v>
      </c>
      <c r="D108" s="2">
        <v>1048576</v>
      </c>
      <c r="E108" s="2">
        <v>83449357</v>
      </c>
      <c r="F108" s="2">
        <v>4305463</v>
      </c>
      <c r="G108" s="2">
        <f t="shared" si="8"/>
        <v>4172.46785</v>
      </c>
      <c r="H108" s="2">
        <f t="shared" si="9"/>
        <v>215.27315000000002</v>
      </c>
      <c r="I108" s="2">
        <f t="shared" si="7"/>
        <v>4387.741</v>
      </c>
    </row>
    <row r="109" spans="1:10" x14ac:dyDescent="0.3">
      <c r="A109" t="s">
        <v>6</v>
      </c>
      <c r="B109">
        <v>12200</v>
      </c>
      <c r="C109" s="2">
        <v>20</v>
      </c>
      <c r="D109" s="2">
        <v>1900000</v>
      </c>
      <c r="E109" s="2">
        <v>151195493</v>
      </c>
      <c r="F109" s="2">
        <v>4305415</v>
      </c>
      <c r="G109" s="2">
        <f t="shared" si="8"/>
        <v>7559.7746500000003</v>
      </c>
      <c r="H109" s="2">
        <f t="shared" si="9"/>
        <v>215.27075000000002</v>
      </c>
      <c r="I109" s="2">
        <f t="shared" si="7"/>
        <v>7775.0454</v>
      </c>
    </row>
    <row r="110" spans="1:10" x14ac:dyDescent="0.3">
      <c r="A110" t="s">
        <v>6</v>
      </c>
      <c r="B110">
        <v>12200</v>
      </c>
      <c r="C110" s="2">
        <v>40</v>
      </c>
      <c r="D110" s="2">
        <v>264</v>
      </c>
      <c r="E110" s="2">
        <v>33355</v>
      </c>
      <c r="F110" s="2">
        <v>4317514</v>
      </c>
      <c r="G110" s="2">
        <f t="shared" si="8"/>
        <v>0.83387500000000003</v>
      </c>
      <c r="H110" s="2">
        <f t="shared" si="9"/>
        <v>107.93785000000001</v>
      </c>
      <c r="I110" s="2">
        <f t="shared" si="7"/>
        <v>108.77172500000002</v>
      </c>
      <c r="J110"/>
    </row>
    <row r="111" spans="1:10" x14ac:dyDescent="0.3">
      <c r="A111" t="s">
        <v>6</v>
      </c>
      <c r="B111">
        <v>12200</v>
      </c>
      <c r="C111" s="2">
        <v>40</v>
      </c>
      <c r="D111" s="2">
        <v>1024</v>
      </c>
      <c r="E111" s="2">
        <v>88266</v>
      </c>
      <c r="F111" s="2">
        <v>4318332</v>
      </c>
      <c r="G111" s="2">
        <f t="shared" si="8"/>
        <v>2.2066500000000002</v>
      </c>
      <c r="H111" s="2">
        <f t="shared" si="9"/>
        <v>107.95830000000001</v>
      </c>
      <c r="I111" s="2">
        <f t="shared" si="7"/>
        <v>110.16495</v>
      </c>
      <c r="J111"/>
    </row>
    <row r="112" spans="1:10" x14ac:dyDescent="0.3">
      <c r="A112" t="s">
        <v>6</v>
      </c>
      <c r="B112">
        <v>12200</v>
      </c>
      <c r="C112" s="2">
        <v>40</v>
      </c>
      <c r="D112" s="2">
        <v>10240</v>
      </c>
      <c r="E112" s="2">
        <v>827214</v>
      </c>
      <c r="F112" s="2">
        <v>4318026</v>
      </c>
      <c r="G112" s="2">
        <f t="shared" si="8"/>
        <v>20.680350000000001</v>
      </c>
      <c r="H112" s="2">
        <f t="shared" si="9"/>
        <v>107.95065000000001</v>
      </c>
      <c r="I112" s="2">
        <f t="shared" si="7"/>
        <v>128.631</v>
      </c>
      <c r="J112"/>
    </row>
    <row r="113" spans="1:10" x14ac:dyDescent="0.3">
      <c r="A113" t="s">
        <v>6</v>
      </c>
      <c r="B113">
        <v>12200</v>
      </c>
      <c r="C113" s="2">
        <v>40</v>
      </c>
      <c r="D113" s="2">
        <v>51200</v>
      </c>
      <c r="E113" s="2">
        <v>4099243</v>
      </c>
      <c r="F113" s="2">
        <v>4318177</v>
      </c>
      <c r="G113" s="2">
        <f t="shared" si="8"/>
        <v>102.481075</v>
      </c>
      <c r="H113" s="2">
        <f t="shared" si="9"/>
        <v>107.954425</v>
      </c>
      <c r="I113" s="2">
        <f t="shared" si="7"/>
        <v>210.43549999999999</v>
      </c>
      <c r="J113"/>
    </row>
    <row r="114" spans="1:10" x14ac:dyDescent="0.3">
      <c r="A114" t="s">
        <v>6</v>
      </c>
      <c r="B114">
        <v>12200</v>
      </c>
      <c r="C114" s="2">
        <v>40</v>
      </c>
      <c r="D114" s="2">
        <v>102400</v>
      </c>
      <c r="E114" s="2">
        <v>8196725</v>
      </c>
      <c r="F114" s="2">
        <v>4317493</v>
      </c>
      <c r="G114" s="2">
        <f t="shared" si="8"/>
        <v>204.918125</v>
      </c>
      <c r="H114" s="2">
        <f t="shared" si="9"/>
        <v>107.937325</v>
      </c>
      <c r="I114" s="2">
        <f t="shared" si="7"/>
        <v>312.85545000000002</v>
      </c>
      <c r="J114"/>
    </row>
    <row r="115" spans="1:10" x14ac:dyDescent="0.3">
      <c r="A115" t="s">
        <v>6</v>
      </c>
      <c r="B115">
        <v>12200</v>
      </c>
      <c r="C115" s="2">
        <v>40</v>
      </c>
      <c r="D115" s="2">
        <v>262144</v>
      </c>
      <c r="E115" s="2">
        <v>20958666</v>
      </c>
      <c r="F115" s="2">
        <v>4318601</v>
      </c>
      <c r="G115" s="2">
        <f t="shared" si="8"/>
        <v>523.96665000000007</v>
      </c>
      <c r="H115" s="2">
        <f t="shared" si="9"/>
        <v>107.96502500000001</v>
      </c>
      <c r="I115" s="2">
        <f t="shared" si="7"/>
        <v>631.93167500000004</v>
      </c>
      <c r="J115"/>
    </row>
    <row r="116" spans="1:10" x14ac:dyDescent="0.3">
      <c r="A116" t="s">
        <v>6</v>
      </c>
      <c r="B116">
        <v>12200</v>
      </c>
      <c r="C116" s="2">
        <v>40</v>
      </c>
      <c r="D116" s="2">
        <v>524288</v>
      </c>
      <c r="E116" s="2">
        <v>41915571</v>
      </c>
      <c r="F116" s="2">
        <v>4318485</v>
      </c>
      <c r="G116" s="2">
        <f t="shared" si="8"/>
        <v>1047.889275</v>
      </c>
      <c r="H116" s="2">
        <f t="shared" si="9"/>
        <v>107.962125</v>
      </c>
      <c r="I116" s="2">
        <f t="shared" si="7"/>
        <v>1155.8514</v>
      </c>
      <c r="J116" s="2"/>
    </row>
    <row r="117" spans="1:10" x14ac:dyDescent="0.3">
      <c r="A117" t="s">
        <v>6</v>
      </c>
      <c r="B117">
        <v>12200</v>
      </c>
      <c r="C117" s="2">
        <v>40</v>
      </c>
      <c r="D117" s="2">
        <v>1048576</v>
      </c>
      <c r="E117" s="2">
        <v>83819474</v>
      </c>
      <c r="F117" s="2">
        <v>4318141</v>
      </c>
      <c r="G117" s="2">
        <f t="shared" si="8"/>
        <v>2095.4868500000002</v>
      </c>
      <c r="H117" s="2">
        <f t="shared" si="9"/>
        <v>107.953525</v>
      </c>
      <c r="I117" s="2">
        <f t="shared" si="7"/>
        <v>2203.4403750000001</v>
      </c>
      <c r="J117"/>
    </row>
    <row r="118" spans="1:10" x14ac:dyDescent="0.3">
      <c r="A118" t="s">
        <v>6</v>
      </c>
      <c r="B118">
        <v>12200</v>
      </c>
      <c r="C118" s="2">
        <v>40</v>
      </c>
      <c r="D118" s="2">
        <v>1900000</v>
      </c>
      <c r="E118" s="2">
        <v>151866129</v>
      </c>
      <c r="F118" s="2">
        <v>4318111</v>
      </c>
      <c r="G118" s="2">
        <f t="shared" si="8"/>
        <v>3796.653225</v>
      </c>
      <c r="H118" s="2">
        <f t="shared" si="9"/>
        <v>107.952775</v>
      </c>
      <c r="I118" s="2">
        <f t="shared" si="7"/>
        <v>3904.6060000000002</v>
      </c>
      <c r="J118"/>
    </row>
    <row r="119" spans="1:10" x14ac:dyDescent="0.3">
      <c r="A119" t="s">
        <v>6</v>
      </c>
      <c r="B119">
        <v>12200</v>
      </c>
      <c r="C119" s="2">
        <v>80</v>
      </c>
      <c r="D119" s="2">
        <v>264</v>
      </c>
      <c r="E119" s="2">
        <v>58709</v>
      </c>
      <c r="F119" s="2">
        <v>6949295</v>
      </c>
      <c r="G119" s="2">
        <f t="shared" si="8"/>
        <v>0.73386250000000008</v>
      </c>
      <c r="H119" s="2">
        <f t="shared" si="9"/>
        <v>86.866187500000009</v>
      </c>
      <c r="I119" s="2">
        <f t="shared" si="7"/>
        <v>87.60005000000001</v>
      </c>
      <c r="J119"/>
    </row>
    <row r="120" spans="1:10" x14ac:dyDescent="0.3">
      <c r="A120" t="s">
        <v>6</v>
      </c>
      <c r="B120">
        <v>12200</v>
      </c>
      <c r="C120" s="2">
        <v>80</v>
      </c>
      <c r="D120" s="2">
        <v>1024</v>
      </c>
      <c r="E120" s="2">
        <v>155970</v>
      </c>
      <c r="F120" s="2">
        <v>6950100</v>
      </c>
      <c r="G120" s="2">
        <f t="shared" si="8"/>
        <v>1.9496250000000002</v>
      </c>
      <c r="H120" s="2">
        <f t="shared" si="9"/>
        <v>86.876249999999999</v>
      </c>
      <c r="I120" s="2">
        <f t="shared" si="7"/>
        <v>88.825874999999996</v>
      </c>
      <c r="J120"/>
    </row>
    <row r="121" spans="1:10" x14ac:dyDescent="0.3">
      <c r="A121" t="s">
        <v>6</v>
      </c>
      <c r="B121">
        <v>12200</v>
      </c>
      <c r="C121" s="2">
        <v>80</v>
      </c>
      <c r="D121" s="2">
        <v>10240</v>
      </c>
      <c r="E121" s="2">
        <v>1469578</v>
      </c>
      <c r="F121" s="2">
        <v>6949794</v>
      </c>
      <c r="G121" s="2">
        <f t="shared" si="8"/>
        <v>18.369725000000003</v>
      </c>
      <c r="H121" s="2">
        <f t="shared" si="9"/>
        <v>86.872425000000007</v>
      </c>
      <c r="I121" s="2">
        <f t="shared" si="7"/>
        <v>105.24215000000001</v>
      </c>
      <c r="J121"/>
    </row>
    <row r="122" spans="1:10" x14ac:dyDescent="0.3">
      <c r="A122" t="s">
        <v>6</v>
      </c>
      <c r="B122">
        <v>12200</v>
      </c>
      <c r="C122" s="2">
        <v>80</v>
      </c>
      <c r="D122" s="2">
        <v>51200</v>
      </c>
      <c r="E122" s="2">
        <v>7285368</v>
      </c>
      <c r="F122" s="2">
        <v>6949934</v>
      </c>
      <c r="G122" s="2">
        <f t="shared" si="8"/>
        <v>91.067100000000011</v>
      </c>
      <c r="H122" s="2">
        <f t="shared" si="9"/>
        <v>86.874175000000008</v>
      </c>
      <c r="I122" s="2">
        <f t="shared" si="7"/>
        <v>177.94127500000002</v>
      </c>
      <c r="J122"/>
    </row>
    <row r="123" spans="1:10" x14ac:dyDescent="0.3">
      <c r="A123" t="s">
        <v>6</v>
      </c>
      <c r="B123">
        <v>12200</v>
      </c>
      <c r="C123" s="2">
        <v>80</v>
      </c>
      <c r="D123" s="2">
        <v>102400</v>
      </c>
      <c r="E123" s="2">
        <v>14568784</v>
      </c>
      <c r="F123" s="2">
        <v>6949257</v>
      </c>
      <c r="G123" s="2">
        <f t="shared" si="8"/>
        <v>182.10980000000001</v>
      </c>
      <c r="H123" s="2">
        <f t="shared" si="9"/>
        <v>86.865712500000001</v>
      </c>
      <c r="I123" s="2">
        <f t="shared" si="7"/>
        <v>268.97551250000004</v>
      </c>
      <c r="J123"/>
    </row>
    <row r="124" spans="1:10" x14ac:dyDescent="0.3">
      <c r="A124" t="s">
        <v>6</v>
      </c>
      <c r="B124">
        <v>12200</v>
      </c>
      <c r="C124" s="2">
        <v>80</v>
      </c>
      <c r="D124" s="2">
        <v>262144</v>
      </c>
      <c r="E124" s="2">
        <v>37252294</v>
      </c>
      <c r="F124" s="2">
        <v>6950365</v>
      </c>
      <c r="G124" s="2">
        <f t="shared" si="8"/>
        <v>465.65367500000002</v>
      </c>
      <c r="H124" s="2">
        <f t="shared" si="9"/>
        <v>86.879562500000006</v>
      </c>
      <c r="I124" s="2">
        <f t="shared" si="7"/>
        <v>552.53323750000004</v>
      </c>
      <c r="J124"/>
    </row>
    <row r="125" spans="1:10" x14ac:dyDescent="0.3">
      <c r="A125" t="s">
        <v>6</v>
      </c>
      <c r="B125">
        <v>12200</v>
      </c>
      <c r="C125" s="2">
        <v>80</v>
      </c>
      <c r="D125" s="2">
        <v>524288</v>
      </c>
      <c r="E125" s="2">
        <v>74502636</v>
      </c>
      <c r="F125" s="2">
        <v>6950249</v>
      </c>
      <c r="G125" s="2">
        <f t="shared" si="8"/>
        <v>931.28295000000003</v>
      </c>
      <c r="H125" s="2">
        <f t="shared" si="9"/>
        <v>86.8781125</v>
      </c>
      <c r="I125" s="2">
        <f t="shared" si="7"/>
        <v>1018.1610625000001</v>
      </c>
      <c r="J125"/>
    </row>
    <row r="126" spans="1:10" x14ac:dyDescent="0.3">
      <c r="A126" t="s">
        <v>6</v>
      </c>
      <c r="B126">
        <v>12200</v>
      </c>
      <c r="C126" s="2">
        <v>80</v>
      </c>
      <c r="D126" s="2">
        <v>1048576</v>
      </c>
      <c r="E126" s="2">
        <v>148985146</v>
      </c>
      <c r="F126" s="2">
        <v>6949909</v>
      </c>
      <c r="G126" s="2">
        <f t="shared" si="8"/>
        <v>1862.3143250000001</v>
      </c>
      <c r="H126" s="2">
        <f t="shared" si="9"/>
        <v>86.873862500000001</v>
      </c>
      <c r="I126" s="2">
        <f t="shared" si="7"/>
        <v>1949.1881875000001</v>
      </c>
      <c r="J126"/>
    </row>
    <row r="127" spans="1:10" x14ac:dyDescent="0.3">
      <c r="A127" t="s">
        <v>6</v>
      </c>
      <c r="B127">
        <v>12200</v>
      </c>
      <c r="C127" s="2">
        <v>80</v>
      </c>
      <c r="D127" s="2">
        <v>1900000</v>
      </c>
      <c r="E127" s="2">
        <v>269935152</v>
      </c>
      <c r="F127" s="2">
        <v>6949867</v>
      </c>
      <c r="G127" s="2">
        <f t="shared" si="8"/>
        <v>3374.1894000000002</v>
      </c>
      <c r="H127" s="2">
        <f t="shared" si="9"/>
        <v>86.873337500000005</v>
      </c>
      <c r="I127" s="2">
        <f t="shared" si="7"/>
        <v>3461.0627375000004</v>
      </c>
      <c r="J127"/>
    </row>
    <row r="128" spans="1:10" x14ac:dyDescent="0.3">
      <c r="A128" t="s">
        <v>6</v>
      </c>
      <c r="B128">
        <v>12200</v>
      </c>
      <c r="C128" s="2">
        <v>120</v>
      </c>
      <c r="D128" s="2">
        <v>264</v>
      </c>
      <c r="E128" s="2">
        <v>86430</v>
      </c>
      <c r="F128" s="2">
        <v>9830264</v>
      </c>
      <c r="G128" s="2">
        <f t="shared" si="8"/>
        <v>0.72025000000000006</v>
      </c>
      <c r="H128" s="2">
        <f t="shared" si="9"/>
        <v>81.918866666666673</v>
      </c>
      <c r="I128" s="2">
        <f t="shared" si="7"/>
        <v>82.639116666666666</v>
      </c>
      <c r="J128"/>
    </row>
    <row r="129" spans="1:10" x14ac:dyDescent="0.3">
      <c r="A129" t="s">
        <v>6</v>
      </c>
      <c r="B129">
        <v>12200</v>
      </c>
      <c r="C129" s="2">
        <v>120</v>
      </c>
      <c r="D129" s="2">
        <v>1024</v>
      </c>
      <c r="E129" s="2">
        <v>229790</v>
      </c>
      <c r="F129" s="2">
        <v>9831027</v>
      </c>
      <c r="G129" s="2">
        <f t="shared" si="8"/>
        <v>1.9149166666666668</v>
      </c>
      <c r="H129" s="2">
        <f t="shared" si="9"/>
        <v>81.925224999999998</v>
      </c>
      <c r="I129" s="2">
        <f t="shared" si="7"/>
        <v>83.840141666666668</v>
      </c>
      <c r="J129"/>
    </row>
    <row r="130" spans="1:10" x14ac:dyDescent="0.3">
      <c r="A130" t="s">
        <v>6</v>
      </c>
      <c r="B130">
        <v>12200</v>
      </c>
      <c r="C130" s="2">
        <v>120</v>
      </c>
      <c r="D130" s="2">
        <v>10240</v>
      </c>
      <c r="E130" s="2">
        <v>2169466</v>
      </c>
      <c r="F130" s="2">
        <v>9830715</v>
      </c>
      <c r="G130" s="2">
        <f t="shared" ref="G130:G136" si="10">E130*(1/(C130*1000))</f>
        <v>18.078883333333334</v>
      </c>
      <c r="H130" s="2">
        <f t="shared" ref="H130:H136" si="11">F130*(1/(C130*1000))</f>
        <v>81.922625000000011</v>
      </c>
      <c r="I130" s="2">
        <f t="shared" si="7"/>
        <v>100.00150833333335</v>
      </c>
      <c r="J130"/>
    </row>
    <row r="131" spans="1:10" x14ac:dyDescent="0.3">
      <c r="A131" t="s">
        <v>6</v>
      </c>
      <c r="B131">
        <v>12200</v>
      </c>
      <c r="C131" s="2">
        <v>120</v>
      </c>
      <c r="D131" s="2">
        <v>51200</v>
      </c>
      <c r="E131" s="2">
        <v>10756571</v>
      </c>
      <c r="F131" s="2">
        <v>9830834</v>
      </c>
      <c r="G131" s="2">
        <f t="shared" si="10"/>
        <v>89.638091666666668</v>
      </c>
      <c r="H131" s="2">
        <f t="shared" si="11"/>
        <v>81.923616666666675</v>
      </c>
      <c r="I131" s="2">
        <f t="shared" ref="I131:I136" si="12">G131+H131</f>
        <v>171.56170833333334</v>
      </c>
      <c r="J131"/>
    </row>
    <row r="132" spans="1:10" x14ac:dyDescent="0.3">
      <c r="A132" t="s">
        <v>6</v>
      </c>
      <c r="B132">
        <v>12200</v>
      </c>
      <c r="C132" s="2">
        <v>120</v>
      </c>
      <c r="D132" s="2">
        <v>102400</v>
      </c>
      <c r="E132" s="2">
        <v>21510964</v>
      </c>
      <c r="F132" s="2">
        <v>9830204</v>
      </c>
      <c r="G132" s="2">
        <f t="shared" si="10"/>
        <v>179.25803333333334</v>
      </c>
      <c r="H132" s="2">
        <f t="shared" si="11"/>
        <v>81.918366666666671</v>
      </c>
      <c r="I132" s="2">
        <f t="shared" si="12"/>
        <v>261.1764</v>
      </c>
      <c r="J132"/>
    </row>
    <row r="133" spans="1:10" x14ac:dyDescent="0.3">
      <c r="A133" t="s">
        <v>6</v>
      </c>
      <c r="B133">
        <v>12200</v>
      </c>
      <c r="C133" s="2">
        <v>120</v>
      </c>
      <c r="D133" s="2">
        <v>262144</v>
      </c>
      <c r="E133" s="2">
        <v>55003556</v>
      </c>
      <c r="F133" s="2">
        <v>9831259</v>
      </c>
      <c r="G133" s="2">
        <f t="shared" si="10"/>
        <v>458.36296666666669</v>
      </c>
      <c r="H133" s="2">
        <f t="shared" si="11"/>
        <v>81.927158333333338</v>
      </c>
      <c r="I133" s="2">
        <f t="shared" si="12"/>
        <v>540.29012499999999</v>
      </c>
      <c r="J133"/>
    </row>
    <row r="134" spans="1:10" x14ac:dyDescent="0.3">
      <c r="A134" t="s">
        <v>6</v>
      </c>
      <c r="B134">
        <v>12200</v>
      </c>
      <c r="C134" s="2">
        <v>120</v>
      </c>
      <c r="D134" s="2">
        <v>524288</v>
      </c>
      <c r="E134" s="2">
        <v>110004934</v>
      </c>
      <c r="F134" s="2">
        <v>9831143</v>
      </c>
      <c r="G134" s="2">
        <f t="shared" si="10"/>
        <v>916.7077833333334</v>
      </c>
      <c r="H134" s="2">
        <f t="shared" si="11"/>
        <v>81.926191666666668</v>
      </c>
      <c r="I134" s="2">
        <f t="shared" si="12"/>
        <v>998.63397500000008</v>
      </c>
      <c r="J134"/>
    </row>
    <row r="135" spans="1:10" x14ac:dyDescent="0.3">
      <c r="A135" t="s">
        <v>6</v>
      </c>
      <c r="B135">
        <v>12200</v>
      </c>
      <c r="C135" s="2">
        <v>120</v>
      </c>
      <c r="D135" s="2">
        <v>1048576</v>
      </c>
      <c r="E135" s="2">
        <v>219980431</v>
      </c>
      <c r="F135" s="2">
        <v>9830835</v>
      </c>
      <c r="G135" s="2">
        <f t="shared" si="10"/>
        <v>1833.1702583333333</v>
      </c>
      <c r="H135" s="2">
        <f t="shared" si="11"/>
        <v>81.923625000000001</v>
      </c>
      <c r="I135" s="2">
        <f t="shared" si="12"/>
        <v>1915.0938833333332</v>
      </c>
      <c r="J135"/>
    </row>
    <row r="136" spans="1:10" x14ac:dyDescent="0.3">
      <c r="A136" t="s">
        <v>6</v>
      </c>
      <c r="B136">
        <v>12200</v>
      </c>
      <c r="C136" s="2">
        <v>120</v>
      </c>
      <c r="D136" s="2">
        <v>1900000</v>
      </c>
      <c r="E136" s="2">
        <v>398566317</v>
      </c>
      <c r="F136" s="2">
        <v>9830762</v>
      </c>
      <c r="G136" s="2">
        <f t="shared" si="10"/>
        <v>3321.3859750000001</v>
      </c>
      <c r="H136" s="2">
        <f t="shared" si="11"/>
        <v>81.923016666666669</v>
      </c>
      <c r="I136" s="2">
        <f t="shared" si="12"/>
        <v>3403.3089916666668</v>
      </c>
      <c r="J1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E7C7-D1AA-4838-B739-2750E2886BB8}">
  <dimension ref="A1:F136"/>
  <sheetViews>
    <sheetView tabSelected="1" workbookViewId="0">
      <selection activeCell="E9" sqref="E9"/>
    </sheetView>
  </sheetViews>
  <sheetFormatPr defaultRowHeight="14.4" x14ac:dyDescent="0.3"/>
  <cols>
    <col min="1" max="1" width="14.6640625" bestFit="1" customWidth="1"/>
    <col min="2" max="2" width="15.6640625" style="2" bestFit="1" customWidth="1"/>
    <col min="3" max="3" width="14" style="2" bestFit="1" customWidth="1"/>
    <col min="4" max="4" width="13" style="2" bestFit="1" customWidth="1"/>
    <col min="5" max="5" width="14.88671875" style="2" customWidth="1"/>
    <col min="6" max="6" width="11.5546875" style="2" bestFit="1" customWidth="1"/>
  </cols>
  <sheetData>
    <row r="1" spans="1:6" x14ac:dyDescent="0.3">
      <c r="A1" t="s">
        <v>0</v>
      </c>
      <c r="B1" s="2" t="s">
        <v>9</v>
      </c>
      <c r="C1" s="2" t="s">
        <v>11</v>
      </c>
      <c r="D1" s="2" t="s">
        <v>10</v>
      </c>
      <c r="E1" s="2" t="s">
        <v>12</v>
      </c>
      <c r="F1" s="2" t="s">
        <v>1</v>
      </c>
    </row>
    <row r="2" spans="1:6" x14ac:dyDescent="0.3">
      <c r="A2" t="s">
        <v>4</v>
      </c>
      <c r="B2" s="2">
        <v>4</v>
      </c>
      <c r="C2" s="2">
        <v>9024</v>
      </c>
      <c r="D2" s="2">
        <v>264</v>
      </c>
      <c r="E2" s="2">
        <v>15380</v>
      </c>
      <c r="F2" s="2">
        <v>1450386</v>
      </c>
    </row>
    <row r="3" spans="1:6" x14ac:dyDescent="0.3">
      <c r="A3" t="s">
        <v>4</v>
      </c>
      <c r="B3" s="2">
        <v>4</v>
      </c>
      <c r="C3" s="2">
        <v>9024</v>
      </c>
      <c r="D3" s="2">
        <v>1024</v>
      </c>
      <c r="E3" s="2">
        <v>48692</v>
      </c>
      <c r="F3" s="2">
        <v>1450820</v>
      </c>
    </row>
    <row r="4" spans="1:6" x14ac:dyDescent="0.3">
      <c r="A4" t="s">
        <v>4</v>
      </c>
      <c r="B4" s="2">
        <v>4</v>
      </c>
      <c r="C4" s="2">
        <v>9024</v>
      </c>
      <c r="D4" s="2">
        <v>10240</v>
      </c>
      <c r="E4" s="2">
        <v>448724</v>
      </c>
      <c r="F4" s="2">
        <v>1450554</v>
      </c>
    </row>
    <row r="5" spans="1:6" x14ac:dyDescent="0.3">
      <c r="A5" t="s">
        <v>4</v>
      </c>
      <c r="B5" s="2">
        <v>4</v>
      </c>
      <c r="C5" s="2">
        <v>9024</v>
      </c>
      <c r="D5" s="2">
        <v>51200</v>
      </c>
      <c r="E5" s="2">
        <v>2226644</v>
      </c>
      <c r="F5" s="2">
        <v>1450453</v>
      </c>
    </row>
    <row r="6" spans="1:6" x14ac:dyDescent="0.3">
      <c r="A6" t="s">
        <v>4</v>
      </c>
      <c r="B6" s="2">
        <v>4</v>
      </c>
      <c r="C6" s="2">
        <v>9024</v>
      </c>
      <c r="D6" s="2">
        <v>102400</v>
      </c>
      <c r="E6" s="2">
        <v>4449044</v>
      </c>
      <c r="F6" s="2">
        <v>1450967</v>
      </c>
    </row>
    <row r="7" spans="1:6" x14ac:dyDescent="0.3">
      <c r="A7" t="s">
        <v>4</v>
      </c>
      <c r="B7" s="2">
        <v>4</v>
      </c>
      <c r="C7" s="2">
        <v>9024</v>
      </c>
      <c r="D7" s="2">
        <v>262144</v>
      </c>
      <c r="E7" s="2">
        <v>11382932</v>
      </c>
      <c r="F7" s="2">
        <v>1450624</v>
      </c>
    </row>
    <row r="8" spans="1:6" x14ac:dyDescent="0.3">
      <c r="A8" t="s">
        <v>4</v>
      </c>
      <c r="B8" s="2">
        <v>4</v>
      </c>
      <c r="C8" s="2">
        <v>9024</v>
      </c>
      <c r="D8" s="2">
        <v>524288</v>
      </c>
      <c r="E8" s="2">
        <v>22761620</v>
      </c>
      <c r="F8" s="2">
        <v>1450838</v>
      </c>
    </row>
    <row r="9" spans="1:6" x14ac:dyDescent="0.3">
      <c r="A9" t="s">
        <v>4</v>
      </c>
      <c r="B9" s="2">
        <v>4</v>
      </c>
      <c r="C9" s="2">
        <v>9024</v>
      </c>
      <c r="D9" s="2">
        <v>1048576</v>
      </c>
      <c r="E9" s="2">
        <v>45518996</v>
      </c>
      <c r="F9" s="2">
        <v>1450033</v>
      </c>
    </row>
    <row r="10" spans="1:6" x14ac:dyDescent="0.3">
      <c r="A10" t="s">
        <v>4</v>
      </c>
      <c r="B10" s="2">
        <v>4</v>
      </c>
      <c r="C10" s="2">
        <v>9024</v>
      </c>
      <c r="D10" s="2">
        <v>1900000</v>
      </c>
      <c r="E10" s="2">
        <v>82477408</v>
      </c>
      <c r="F10" s="2">
        <v>1450848</v>
      </c>
    </row>
    <row r="11" spans="1:6" x14ac:dyDescent="0.3">
      <c r="A11" t="s">
        <v>4</v>
      </c>
      <c r="B11" s="2">
        <v>20</v>
      </c>
      <c r="C11" s="2">
        <v>9024</v>
      </c>
      <c r="D11" s="2">
        <v>264</v>
      </c>
      <c r="E11" s="2">
        <v>15372</v>
      </c>
      <c r="F11" s="2">
        <v>1448949</v>
      </c>
    </row>
    <row r="12" spans="1:6" x14ac:dyDescent="0.3">
      <c r="A12" t="s">
        <v>4</v>
      </c>
      <c r="B12" s="2">
        <v>20</v>
      </c>
      <c r="C12" s="2">
        <v>9024</v>
      </c>
      <c r="D12" s="2">
        <v>1024</v>
      </c>
      <c r="E12" s="2">
        <v>48660</v>
      </c>
      <c r="F12" s="2">
        <v>1449380</v>
      </c>
    </row>
    <row r="13" spans="1:6" x14ac:dyDescent="0.3">
      <c r="A13" t="s">
        <v>4</v>
      </c>
      <c r="B13" s="2">
        <v>20</v>
      </c>
      <c r="C13" s="2">
        <v>9024</v>
      </c>
      <c r="D13" s="2">
        <v>10240</v>
      </c>
      <c r="E13" s="2">
        <v>448404</v>
      </c>
      <c r="F13" s="2">
        <v>1449117</v>
      </c>
    </row>
    <row r="14" spans="1:6" x14ac:dyDescent="0.3">
      <c r="A14" t="s">
        <v>4</v>
      </c>
      <c r="B14" s="2">
        <v>20</v>
      </c>
      <c r="C14" s="2">
        <v>9024</v>
      </c>
      <c r="D14" s="2">
        <v>51200</v>
      </c>
      <c r="E14" s="2">
        <v>2225044</v>
      </c>
      <c r="F14" s="2">
        <v>1449015</v>
      </c>
    </row>
    <row r="15" spans="1:6" x14ac:dyDescent="0.3">
      <c r="A15" t="s">
        <v>4</v>
      </c>
      <c r="B15" s="2">
        <v>20</v>
      </c>
      <c r="C15" s="2">
        <v>9024</v>
      </c>
      <c r="D15" s="2">
        <v>102400</v>
      </c>
      <c r="E15" s="2">
        <v>4445844</v>
      </c>
      <c r="F15" s="2">
        <v>1449533</v>
      </c>
    </row>
    <row r="16" spans="1:6" x14ac:dyDescent="0.3">
      <c r="A16" t="s">
        <v>4</v>
      </c>
      <c r="B16" s="2">
        <v>20</v>
      </c>
      <c r="C16" s="2">
        <v>9024</v>
      </c>
      <c r="D16" s="2">
        <v>262144</v>
      </c>
      <c r="E16" s="2">
        <v>11374740</v>
      </c>
      <c r="F16" s="2">
        <v>1449184</v>
      </c>
    </row>
    <row r="17" spans="1:6" x14ac:dyDescent="0.3">
      <c r="A17" t="s">
        <v>4</v>
      </c>
      <c r="B17" s="2">
        <v>20</v>
      </c>
      <c r="C17" s="2">
        <v>9024</v>
      </c>
      <c r="D17" s="2">
        <v>524288</v>
      </c>
      <c r="E17" s="2">
        <v>22745236</v>
      </c>
      <c r="F17" s="2">
        <v>1449400</v>
      </c>
    </row>
    <row r="18" spans="1:6" x14ac:dyDescent="0.3">
      <c r="A18" t="s">
        <v>4</v>
      </c>
      <c r="B18" s="2">
        <v>20</v>
      </c>
      <c r="C18" s="2">
        <v>9024</v>
      </c>
      <c r="D18" s="2">
        <v>1048576</v>
      </c>
      <c r="E18" s="2">
        <v>45486228</v>
      </c>
      <c r="F18" s="2">
        <v>1448597</v>
      </c>
    </row>
    <row r="19" spans="1:6" x14ac:dyDescent="0.3">
      <c r="A19" t="s">
        <v>4</v>
      </c>
      <c r="B19" s="2">
        <v>20</v>
      </c>
      <c r="C19" s="2">
        <v>9024</v>
      </c>
      <c r="D19" s="2">
        <v>1900000</v>
      </c>
      <c r="E19" s="2">
        <v>82418028</v>
      </c>
      <c r="F19" s="2">
        <v>1449409</v>
      </c>
    </row>
    <row r="20" spans="1:6" x14ac:dyDescent="0.3">
      <c r="A20" t="s">
        <v>4</v>
      </c>
      <c r="B20" s="2">
        <v>40</v>
      </c>
      <c r="C20" s="2">
        <v>9024</v>
      </c>
      <c r="D20" s="2">
        <v>264</v>
      </c>
      <c r="E20" s="2">
        <v>15673</v>
      </c>
      <c r="F20" s="2">
        <v>1454190</v>
      </c>
    </row>
    <row r="21" spans="1:6" x14ac:dyDescent="0.3">
      <c r="A21" t="s">
        <v>4</v>
      </c>
      <c r="B21" s="2">
        <v>40</v>
      </c>
      <c r="C21" s="2">
        <v>9024</v>
      </c>
      <c r="D21" s="2">
        <v>1024</v>
      </c>
      <c r="E21" s="2">
        <v>49595</v>
      </c>
      <c r="F21" s="2">
        <v>1454632</v>
      </c>
    </row>
    <row r="22" spans="1:6" x14ac:dyDescent="0.3">
      <c r="A22" t="s">
        <v>4</v>
      </c>
      <c r="B22" s="2">
        <v>40</v>
      </c>
      <c r="C22" s="2">
        <v>9024</v>
      </c>
      <c r="D22" s="2">
        <v>10240</v>
      </c>
      <c r="E22" s="2">
        <v>456971</v>
      </c>
      <c r="F22" s="2">
        <v>1454361</v>
      </c>
    </row>
    <row r="23" spans="1:6" x14ac:dyDescent="0.3">
      <c r="A23" t="s">
        <v>4</v>
      </c>
      <c r="B23" s="2">
        <v>40</v>
      </c>
      <c r="C23" s="2">
        <v>9024</v>
      </c>
      <c r="D23" s="2">
        <v>51200</v>
      </c>
      <c r="E23" s="2">
        <v>2267531</v>
      </c>
      <c r="F23" s="2">
        <v>1454249</v>
      </c>
    </row>
    <row r="24" spans="1:6" x14ac:dyDescent="0.3">
      <c r="A24" t="s">
        <v>4</v>
      </c>
      <c r="B24" s="2">
        <v>40</v>
      </c>
      <c r="C24" s="2">
        <v>9024</v>
      </c>
      <c r="D24" s="2">
        <v>102400</v>
      </c>
      <c r="E24" s="2">
        <v>4530731</v>
      </c>
      <c r="F24" s="2">
        <v>1454773</v>
      </c>
    </row>
    <row r="25" spans="1:6" x14ac:dyDescent="0.3">
      <c r="A25" t="s">
        <v>4</v>
      </c>
      <c r="B25" s="2">
        <v>40</v>
      </c>
      <c r="C25" s="2">
        <v>9024</v>
      </c>
      <c r="D25" s="2">
        <v>262144</v>
      </c>
      <c r="E25" s="2">
        <v>11591915</v>
      </c>
      <c r="F25" s="2">
        <v>1454436</v>
      </c>
    </row>
    <row r="26" spans="1:6" x14ac:dyDescent="0.3">
      <c r="A26" t="s">
        <v>4</v>
      </c>
      <c r="B26" s="2">
        <v>40</v>
      </c>
      <c r="C26" s="2">
        <v>9024</v>
      </c>
      <c r="D26" s="2">
        <v>524288</v>
      </c>
      <c r="E26" s="2">
        <v>23179499</v>
      </c>
      <c r="F26" s="2">
        <v>1454627</v>
      </c>
    </row>
    <row r="27" spans="1:6" x14ac:dyDescent="0.3">
      <c r="A27" t="s">
        <v>4</v>
      </c>
      <c r="B27" s="2">
        <v>40</v>
      </c>
      <c r="C27" s="2">
        <v>9024</v>
      </c>
      <c r="D27" s="2">
        <v>1048576</v>
      </c>
      <c r="E27" s="2">
        <v>46354667</v>
      </c>
      <c r="F27" s="2">
        <v>1453841</v>
      </c>
    </row>
    <row r="28" spans="1:6" x14ac:dyDescent="0.3">
      <c r="A28" t="s">
        <v>4</v>
      </c>
      <c r="B28" s="2">
        <v>40</v>
      </c>
      <c r="C28" s="2">
        <v>9024</v>
      </c>
      <c r="D28" s="2">
        <v>1900000</v>
      </c>
      <c r="E28" s="2">
        <v>83991572</v>
      </c>
      <c r="F28" s="2">
        <v>1454674</v>
      </c>
    </row>
    <row r="29" spans="1:6" x14ac:dyDescent="0.3">
      <c r="A29" t="s">
        <v>4</v>
      </c>
      <c r="B29" s="2">
        <v>80</v>
      </c>
      <c r="C29" s="2">
        <v>9024</v>
      </c>
      <c r="D29" s="2">
        <v>264</v>
      </c>
      <c r="E29" s="2">
        <v>19750</v>
      </c>
      <c r="F29" s="2">
        <v>2296341</v>
      </c>
    </row>
    <row r="30" spans="1:6" x14ac:dyDescent="0.3">
      <c r="A30" t="s">
        <v>4</v>
      </c>
      <c r="B30" s="2">
        <v>80</v>
      </c>
      <c r="C30" s="2">
        <v>9024</v>
      </c>
      <c r="D30" s="2">
        <v>1024</v>
      </c>
      <c r="E30" s="2">
        <v>63355</v>
      </c>
      <c r="F30" s="2">
        <v>2296782</v>
      </c>
    </row>
    <row r="31" spans="1:6" x14ac:dyDescent="0.3">
      <c r="A31" t="s">
        <v>4</v>
      </c>
      <c r="B31" s="2">
        <v>80</v>
      </c>
      <c r="C31" s="2">
        <v>9024</v>
      </c>
      <c r="D31" s="2">
        <v>10240</v>
      </c>
      <c r="E31" s="2">
        <v>586939</v>
      </c>
      <c r="F31" s="2">
        <v>2296509</v>
      </c>
    </row>
    <row r="32" spans="1:6" x14ac:dyDescent="0.3">
      <c r="A32" t="s">
        <v>4</v>
      </c>
      <c r="B32" s="2">
        <v>80</v>
      </c>
      <c r="C32" s="2">
        <v>9024</v>
      </c>
      <c r="D32" s="2">
        <v>51200</v>
      </c>
      <c r="E32" s="2">
        <v>2913979</v>
      </c>
      <c r="F32" s="2">
        <v>2296398</v>
      </c>
    </row>
    <row r="33" spans="1:6" x14ac:dyDescent="0.3">
      <c r="A33" t="s">
        <v>4</v>
      </c>
      <c r="B33" s="2">
        <v>80</v>
      </c>
      <c r="C33" s="2">
        <v>9024</v>
      </c>
      <c r="D33" s="2">
        <v>102400</v>
      </c>
      <c r="E33" s="2">
        <v>5822779</v>
      </c>
      <c r="F33" s="2">
        <v>2296918</v>
      </c>
    </row>
    <row r="34" spans="1:6" x14ac:dyDescent="0.3">
      <c r="A34" t="s">
        <v>4</v>
      </c>
      <c r="B34" s="2">
        <v>80</v>
      </c>
      <c r="C34" s="2">
        <v>9024</v>
      </c>
      <c r="D34" s="2">
        <v>262144</v>
      </c>
      <c r="E34" s="2">
        <v>14898235</v>
      </c>
      <c r="F34" s="2">
        <v>2296585</v>
      </c>
    </row>
    <row r="35" spans="1:6" x14ac:dyDescent="0.3">
      <c r="A35" t="s">
        <v>4</v>
      </c>
      <c r="B35" s="2">
        <v>80</v>
      </c>
      <c r="C35" s="2">
        <v>9024</v>
      </c>
      <c r="D35" s="2">
        <v>524288</v>
      </c>
      <c r="E35" s="2">
        <v>29791291</v>
      </c>
      <c r="F35" s="2">
        <v>2296776</v>
      </c>
    </row>
    <row r="36" spans="1:6" x14ac:dyDescent="0.3">
      <c r="A36" t="s">
        <v>4</v>
      </c>
      <c r="B36" s="2">
        <v>80</v>
      </c>
      <c r="C36" s="2">
        <v>9024</v>
      </c>
      <c r="D36" s="2">
        <v>1048576</v>
      </c>
      <c r="E36" s="2">
        <v>59577403</v>
      </c>
      <c r="F36" s="2">
        <v>2295984</v>
      </c>
    </row>
    <row r="37" spans="1:6" x14ac:dyDescent="0.3">
      <c r="A37" t="s">
        <v>4</v>
      </c>
      <c r="B37" s="2">
        <v>80</v>
      </c>
      <c r="C37" s="2">
        <v>9024</v>
      </c>
      <c r="D37" s="2">
        <v>1900000</v>
      </c>
      <c r="E37" s="2">
        <v>107950635</v>
      </c>
      <c r="F37" s="2">
        <v>2296823</v>
      </c>
    </row>
    <row r="38" spans="1:6" x14ac:dyDescent="0.3">
      <c r="A38" t="s">
        <v>4</v>
      </c>
      <c r="B38" s="2">
        <v>120</v>
      </c>
      <c r="C38" s="2">
        <v>9024</v>
      </c>
      <c r="D38" s="2">
        <v>264</v>
      </c>
      <c r="E38" s="2">
        <v>28668</v>
      </c>
      <c r="F38" s="2">
        <v>3218791</v>
      </c>
    </row>
    <row r="39" spans="1:6" x14ac:dyDescent="0.3">
      <c r="A39" t="s">
        <v>4</v>
      </c>
      <c r="B39" s="2">
        <v>120</v>
      </c>
      <c r="C39" s="2">
        <v>9024</v>
      </c>
      <c r="D39" s="2">
        <v>1024</v>
      </c>
      <c r="E39" s="2">
        <v>93294</v>
      </c>
      <c r="F39" s="2">
        <v>3219240</v>
      </c>
    </row>
    <row r="40" spans="1:6" x14ac:dyDescent="0.3">
      <c r="A40" t="s">
        <v>4</v>
      </c>
      <c r="B40" s="2">
        <v>120</v>
      </c>
      <c r="C40" s="2">
        <v>9024</v>
      </c>
      <c r="D40" s="2">
        <v>10240</v>
      </c>
      <c r="E40" s="2">
        <v>869166</v>
      </c>
      <c r="F40" s="2">
        <v>3218967</v>
      </c>
    </row>
    <row r="41" spans="1:6" x14ac:dyDescent="0.3">
      <c r="A41" t="s">
        <v>4</v>
      </c>
      <c r="B41" s="2">
        <v>120</v>
      </c>
      <c r="C41" s="2">
        <v>9024</v>
      </c>
      <c r="D41" s="2">
        <v>51200</v>
      </c>
      <c r="E41" s="2">
        <v>4317486</v>
      </c>
      <c r="F41" s="2">
        <v>3218851</v>
      </c>
    </row>
    <row r="42" spans="1:6" x14ac:dyDescent="0.3">
      <c r="A42" t="s">
        <v>4</v>
      </c>
      <c r="B42" s="2">
        <v>120</v>
      </c>
      <c r="C42" s="2">
        <v>9024</v>
      </c>
      <c r="D42" s="2">
        <v>102400</v>
      </c>
      <c r="E42" s="2">
        <v>8627886</v>
      </c>
      <c r="F42" s="2">
        <v>3219367</v>
      </c>
    </row>
    <row r="43" spans="1:6" x14ac:dyDescent="0.3">
      <c r="A43" t="s">
        <v>4</v>
      </c>
      <c r="B43" s="2">
        <v>120</v>
      </c>
      <c r="C43" s="2">
        <v>9024</v>
      </c>
      <c r="D43" s="2">
        <v>262144</v>
      </c>
      <c r="E43" s="2">
        <v>22076334</v>
      </c>
      <c r="F43" s="2">
        <v>3219040</v>
      </c>
    </row>
    <row r="44" spans="1:6" x14ac:dyDescent="0.3">
      <c r="A44" t="s">
        <v>4</v>
      </c>
      <c r="B44" s="2">
        <v>120</v>
      </c>
      <c r="C44" s="2">
        <v>9024</v>
      </c>
      <c r="D44" s="2">
        <v>524288</v>
      </c>
      <c r="E44" s="2">
        <v>44145582</v>
      </c>
      <c r="F44" s="2">
        <v>3219240</v>
      </c>
    </row>
    <row r="45" spans="1:6" x14ac:dyDescent="0.3">
      <c r="A45" t="s">
        <v>4</v>
      </c>
      <c r="B45" s="2">
        <v>120</v>
      </c>
      <c r="C45" s="2">
        <v>9024</v>
      </c>
      <c r="D45" s="2">
        <v>1048576</v>
      </c>
      <c r="E45" s="2">
        <v>88284078</v>
      </c>
      <c r="F45" s="2">
        <v>3218429</v>
      </c>
    </row>
    <row r="46" spans="1:6" x14ac:dyDescent="0.3">
      <c r="A46" t="s">
        <v>4</v>
      </c>
      <c r="B46" s="2">
        <v>120</v>
      </c>
      <c r="C46" s="2">
        <v>9024</v>
      </c>
      <c r="D46" s="2">
        <v>1900000</v>
      </c>
      <c r="E46" s="2">
        <v>159965901</v>
      </c>
      <c r="F46" s="2">
        <v>3219278</v>
      </c>
    </row>
    <row r="47" spans="1:6" x14ac:dyDescent="0.3">
      <c r="A47" t="s">
        <v>5</v>
      </c>
      <c r="B47" s="2">
        <v>4</v>
      </c>
      <c r="C47" s="2">
        <v>10000</v>
      </c>
      <c r="D47" s="2">
        <v>264</v>
      </c>
      <c r="E47" s="2">
        <v>15380</v>
      </c>
      <c r="F47" s="2">
        <v>2479333</v>
      </c>
    </row>
    <row r="48" spans="1:6" x14ac:dyDescent="0.3">
      <c r="A48" t="s">
        <v>5</v>
      </c>
      <c r="B48" s="2">
        <v>4</v>
      </c>
      <c r="C48" s="2">
        <v>10000</v>
      </c>
      <c r="D48" s="2">
        <v>1024</v>
      </c>
      <c r="E48" s="2">
        <v>48692</v>
      </c>
      <c r="F48" s="2">
        <v>2479455</v>
      </c>
    </row>
    <row r="49" spans="1:6" x14ac:dyDescent="0.3">
      <c r="A49" t="s">
        <v>5</v>
      </c>
      <c r="B49" s="2">
        <v>4</v>
      </c>
      <c r="C49" s="2">
        <v>10000</v>
      </c>
      <c r="D49" s="2">
        <v>10240</v>
      </c>
      <c r="E49" s="2">
        <v>448724</v>
      </c>
      <c r="F49" s="2">
        <v>2479375</v>
      </c>
    </row>
    <row r="50" spans="1:6" x14ac:dyDescent="0.3">
      <c r="A50" t="s">
        <v>5</v>
      </c>
      <c r="B50" s="2">
        <v>4</v>
      </c>
      <c r="C50" s="2">
        <v>10000</v>
      </c>
      <c r="D50" s="2">
        <v>51200</v>
      </c>
      <c r="E50" s="2">
        <v>2226644</v>
      </c>
      <c r="F50" s="2">
        <v>2479439</v>
      </c>
    </row>
    <row r="51" spans="1:6" x14ac:dyDescent="0.3">
      <c r="A51" t="s">
        <v>5</v>
      </c>
      <c r="B51" s="2">
        <v>4</v>
      </c>
      <c r="C51" s="2">
        <v>10000</v>
      </c>
      <c r="D51" s="2">
        <v>102400</v>
      </c>
      <c r="E51" s="2">
        <v>4449044</v>
      </c>
      <c r="F51" s="2">
        <v>2479273</v>
      </c>
    </row>
    <row r="52" spans="1:6" x14ac:dyDescent="0.3">
      <c r="A52" t="s">
        <v>5</v>
      </c>
      <c r="B52" s="2">
        <v>4</v>
      </c>
      <c r="C52" s="2">
        <v>10000</v>
      </c>
      <c r="D52" s="2">
        <v>262144</v>
      </c>
      <c r="E52" s="2">
        <v>11382932</v>
      </c>
      <c r="F52" s="2">
        <v>2479157</v>
      </c>
    </row>
    <row r="53" spans="1:6" x14ac:dyDescent="0.3">
      <c r="A53" t="s">
        <v>5</v>
      </c>
      <c r="B53" s="2">
        <v>4</v>
      </c>
      <c r="C53" s="2">
        <v>10000</v>
      </c>
      <c r="D53" s="2">
        <v>524288</v>
      </c>
      <c r="E53" s="2">
        <v>22761620</v>
      </c>
      <c r="F53" s="2">
        <v>2479863</v>
      </c>
    </row>
    <row r="54" spans="1:6" x14ac:dyDescent="0.3">
      <c r="A54" t="s">
        <v>5</v>
      </c>
      <c r="B54" s="2">
        <v>4</v>
      </c>
      <c r="C54" s="2">
        <v>10000</v>
      </c>
      <c r="D54" s="2">
        <v>1048576</v>
      </c>
      <c r="E54" s="2">
        <v>45518996</v>
      </c>
      <c r="F54" s="2">
        <v>2480021</v>
      </c>
    </row>
    <row r="55" spans="1:6" x14ac:dyDescent="0.3">
      <c r="A55" t="s">
        <v>5</v>
      </c>
      <c r="B55" s="2">
        <v>4</v>
      </c>
      <c r="C55" s="2">
        <v>10000</v>
      </c>
      <c r="D55" s="2">
        <v>1900000</v>
      </c>
      <c r="E55" s="2">
        <v>82477408</v>
      </c>
      <c r="F55" s="2">
        <v>2479951</v>
      </c>
    </row>
    <row r="56" spans="1:6" x14ac:dyDescent="0.3">
      <c r="A56" t="s">
        <v>5</v>
      </c>
      <c r="B56" s="2">
        <v>20</v>
      </c>
      <c r="C56" s="2">
        <v>10000</v>
      </c>
      <c r="D56" s="2">
        <v>264</v>
      </c>
      <c r="E56" s="2">
        <v>15370</v>
      </c>
      <c r="F56" s="2">
        <v>2476695</v>
      </c>
    </row>
    <row r="57" spans="1:6" x14ac:dyDescent="0.3">
      <c r="A57" t="s">
        <v>5</v>
      </c>
      <c r="B57" s="2">
        <v>20</v>
      </c>
      <c r="C57" s="2">
        <v>10000</v>
      </c>
      <c r="D57" s="2">
        <v>1024</v>
      </c>
      <c r="E57" s="2">
        <v>48658</v>
      </c>
      <c r="F57" s="2">
        <v>2476817</v>
      </c>
    </row>
    <row r="58" spans="1:6" x14ac:dyDescent="0.3">
      <c r="A58" t="s">
        <v>5</v>
      </c>
      <c r="B58" s="2">
        <v>20</v>
      </c>
      <c r="C58" s="2">
        <v>10000</v>
      </c>
      <c r="D58" s="2">
        <v>10240</v>
      </c>
      <c r="E58" s="2">
        <v>448402</v>
      </c>
      <c r="F58" s="2">
        <v>2476737</v>
      </c>
    </row>
    <row r="59" spans="1:6" x14ac:dyDescent="0.3">
      <c r="A59" t="s">
        <v>5</v>
      </c>
      <c r="B59" s="2">
        <v>20</v>
      </c>
      <c r="C59" s="2">
        <v>10000</v>
      </c>
      <c r="D59" s="2">
        <v>51200</v>
      </c>
      <c r="E59" s="2">
        <v>2225042</v>
      </c>
      <c r="F59" s="2">
        <v>2476800</v>
      </c>
    </row>
    <row r="60" spans="1:6" x14ac:dyDescent="0.3">
      <c r="A60" t="s">
        <v>5</v>
      </c>
      <c r="B60" s="2">
        <v>20</v>
      </c>
      <c r="C60" s="2">
        <v>10000</v>
      </c>
      <c r="D60" s="2">
        <v>102400</v>
      </c>
      <c r="E60" s="2">
        <v>4445842</v>
      </c>
      <c r="F60" s="2">
        <v>2476634</v>
      </c>
    </row>
    <row r="61" spans="1:6" x14ac:dyDescent="0.3">
      <c r="A61" t="s">
        <v>5</v>
      </c>
      <c r="B61" s="2">
        <v>20</v>
      </c>
      <c r="C61" s="2">
        <v>10000</v>
      </c>
      <c r="D61" s="2">
        <v>262144</v>
      </c>
      <c r="E61" s="2">
        <v>11374738</v>
      </c>
      <c r="F61" s="2">
        <v>2476518</v>
      </c>
    </row>
    <row r="62" spans="1:6" x14ac:dyDescent="0.3">
      <c r="A62" t="s">
        <v>5</v>
      </c>
      <c r="B62" s="2">
        <v>20</v>
      </c>
      <c r="C62" s="2">
        <v>10000</v>
      </c>
      <c r="D62" s="2">
        <v>524288</v>
      </c>
      <c r="E62" s="2">
        <v>22745234</v>
      </c>
      <c r="F62" s="2">
        <v>2477224</v>
      </c>
    </row>
    <row r="63" spans="1:6" x14ac:dyDescent="0.3">
      <c r="A63" t="s">
        <v>5</v>
      </c>
      <c r="B63" s="2">
        <v>20</v>
      </c>
      <c r="C63" s="2">
        <v>10000</v>
      </c>
      <c r="D63" s="2">
        <v>1048576</v>
      </c>
      <c r="E63" s="2">
        <v>45486226</v>
      </c>
      <c r="F63" s="2">
        <v>2477382</v>
      </c>
    </row>
    <row r="64" spans="1:6" x14ac:dyDescent="0.3">
      <c r="A64" t="s">
        <v>5</v>
      </c>
      <c r="B64" s="2">
        <v>20</v>
      </c>
      <c r="C64" s="2">
        <v>10000</v>
      </c>
      <c r="D64" s="2">
        <v>1900000</v>
      </c>
      <c r="E64" s="2">
        <v>82418029</v>
      </c>
      <c r="F64" s="2">
        <v>2477312</v>
      </c>
    </row>
    <row r="65" spans="1:6" x14ac:dyDescent="0.3">
      <c r="A65" t="s">
        <v>5</v>
      </c>
      <c r="B65" s="2">
        <v>40</v>
      </c>
      <c r="C65" s="2">
        <v>10000</v>
      </c>
      <c r="D65" s="2">
        <v>264</v>
      </c>
      <c r="E65" s="2">
        <v>15673</v>
      </c>
      <c r="F65" s="2">
        <v>2484662</v>
      </c>
    </row>
    <row r="66" spans="1:6" x14ac:dyDescent="0.3">
      <c r="A66" t="s">
        <v>5</v>
      </c>
      <c r="B66" s="2">
        <v>40</v>
      </c>
      <c r="C66" s="2">
        <v>10000</v>
      </c>
      <c r="D66" s="2">
        <v>1024</v>
      </c>
      <c r="E66" s="2">
        <v>49595</v>
      </c>
      <c r="F66" s="2">
        <v>2484796</v>
      </c>
    </row>
    <row r="67" spans="1:6" x14ac:dyDescent="0.3">
      <c r="A67" t="s">
        <v>5</v>
      </c>
      <c r="B67" s="2">
        <v>40</v>
      </c>
      <c r="C67" s="2">
        <v>10000</v>
      </c>
      <c r="D67" s="2">
        <v>10240</v>
      </c>
      <c r="E67" s="2">
        <v>456971</v>
      </c>
      <c r="F67" s="2">
        <v>2484727</v>
      </c>
    </row>
    <row r="68" spans="1:6" x14ac:dyDescent="0.3">
      <c r="A68" t="s">
        <v>5</v>
      </c>
      <c r="B68" s="2">
        <v>40</v>
      </c>
      <c r="C68" s="2">
        <v>10000</v>
      </c>
      <c r="D68" s="2">
        <v>51200</v>
      </c>
      <c r="E68" s="2">
        <v>2267531</v>
      </c>
      <c r="F68" s="2">
        <v>2484784</v>
      </c>
    </row>
    <row r="69" spans="1:6" x14ac:dyDescent="0.3">
      <c r="A69" t="s">
        <v>5</v>
      </c>
      <c r="B69" s="2">
        <v>40</v>
      </c>
      <c r="C69" s="2">
        <v>10000</v>
      </c>
      <c r="D69" s="2">
        <v>102400</v>
      </c>
      <c r="E69" s="2">
        <v>4530731</v>
      </c>
      <c r="F69" s="2">
        <v>2484596</v>
      </c>
    </row>
    <row r="70" spans="1:6" x14ac:dyDescent="0.3">
      <c r="A70" t="s">
        <v>5</v>
      </c>
      <c r="B70" s="2">
        <v>40</v>
      </c>
      <c r="C70" s="2">
        <v>10000</v>
      </c>
      <c r="D70" s="2">
        <v>262144</v>
      </c>
      <c r="E70" s="2">
        <v>11591915</v>
      </c>
      <c r="F70" s="2">
        <v>2484517</v>
      </c>
    </row>
    <row r="71" spans="1:6" x14ac:dyDescent="0.3">
      <c r="A71" t="s">
        <v>5</v>
      </c>
      <c r="B71" s="2">
        <v>40</v>
      </c>
      <c r="C71" s="2">
        <v>10000</v>
      </c>
      <c r="D71" s="2">
        <v>524288</v>
      </c>
      <c r="E71" s="2">
        <v>23179499</v>
      </c>
      <c r="F71" s="2">
        <v>2485207</v>
      </c>
    </row>
    <row r="72" spans="1:6" x14ac:dyDescent="0.3">
      <c r="A72" t="s">
        <v>5</v>
      </c>
      <c r="B72" s="2">
        <v>40</v>
      </c>
      <c r="C72" s="2">
        <v>10000</v>
      </c>
      <c r="D72" s="2">
        <v>1048576</v>
      </c>
      <c r="E72" s="2">
        <v>46354667</v>
      </c>
      <c r="F72" s="2">
        <v>2485421</v>
      </c>
    </row>
    <row r="73" spans="1:6" x14ac:dyDescent="0.3">
      <c r="A73" t="s">
        <v>5</v>
      </c>
      <c r="B73" s="2">
        <v>40</v>
      </c>
      <c r="C73" s="2">
        <v>10000</v>
      </c>
      <c r="D73" s="2">
        <v>1900000</v>
      </c>
      <c r="E73" s="2">
        <v>83991572</v>
      </c>
      <c r="F73" s="2">
        <v>2485319</v>
      </c>
    </row>
    <row r="74" spans="1:6" x14ac:dyDescent="0.3">
      <c r="A74" t="s">
        <v>5</v>
      </c>
      <c r="B74" s="2">
        <v>80</v>
      </c>
      <c r="C74" s="2">
        <v>10000</v>
      </c>
      <c r="D74" s="2">
        <v>264</v>
      </c>
      <c r="E74" s="2">
        <v>19750</v>
      </c>
      <c r="F74" s="2">
        <v>3960854</v>
      </c>
    </row>
    <row r="75" spans="1:6" x14ac:dyDescent="0.3">
      <c r="A75" t="s">
        <v>5</v>
      </c>
      <c r="B75" s="2">
        <v>80</v>
      </c>
      <c r="C75" s="2">
        <v>10000</v>
      </c>
      <c r="D75" s="2">
        <v>1024</v>
      </c>
      <c r="E75" s="2">
        <v>63355</v>
      </c>
      <c r="F75" s="2">
        <v>3960981</v>
      </c>
    </row>
    <row r="76" spans="1:6" x14ac:dyDescent="0.3">
      <c r="A76" t="s">
        <v>5</v>
      </c>
      <c r="B76" s="2">
        <v>80</v>
      </c>
      <c r="C76" s="2">
        <v>10000</v>
      </c>
      <c r="D76" s="2">
        <v>10240</v>
      </c>
      <c r="E76" s="2">
        <v>586939</v>
      </c>
      <c r="F76" s="2">
        <v>3960916</v>
      </c>
    </row>
    <row r="77" spans="1:6" x14ac:dyDescent="0.3">
      <c r="A77" t="s">
        <v>5</v>
      </c>
      <c r="B77" s="2">
        <v>80</v>
      </c>
      <c r="C77" s="2">
        <v>10000</v>
      </c>
      <c r="D77" s="2">
        <v>51200</v>
      </c>
      <c r="E77" s="2">
        <v>2913979</v>
      </c>
      <c r="F77" s="2">
        <v>3960973</v>
      </c>
    </row>
    <row r="78" spans="1:6" x14ac:dyDescent="0.3">
      <c r="A78" t="s">
        <v>5</v>
      </c>
      <c r="B78" s="2">
        <v>80</v>
      </c>
      <c r="C78" s="2">
        <v>10000</v>
      </c>
      <c r="D78" s="2">
        <v>102400</v>
      </c>
      <c r="E78" s="2">
        <v>5822779</v>
      </c>
      <c r="F78" s="2">
        <v>3960781</v>
      </c>
    </row>
    <row r="79" spans="1:6" x14ac:dyDescent="0.3">
      <c r="A79" t="s">
        <v>5</v>
      </c>
      <c r="B79" s="2">
        <v>80</v>
      </c>
      <c r="C79" s="2">
        <v>10000</v>
      </c>
      <c r="D79" s="2">
        <v>262144</v>
      </c>
      <c r="E79" s="2">
        <v>14898235</v>
      </c>
      <c r="F79" s="2">
        <v>3960708</v>
      </c>
    </row>
    <row r="80" spans="1:6" x14ac:dyDescent="0.3">
      <c r="A80" t="s">
        <v>5</v>
      </c>
      <c r="B80" s="2">
        <v>80</v>
      </c>
      <c r="C80" s="2">
        <v>10000</v>
      </c>
      <c r="D80" s="2">
        <v>524288</v>
      </c>
      <c r="E80" s="2">
        <v>29791291</v>
      </c>
      <c r="F80" s="2">
        <v>3961394</v>
      </c>
    </row>
    <row r="81" spans="1:6" x14ac:dyDescent="0.3">
      <c r="A81" t="s">
        <v>5</v>
      </c>
      <c r="B81" s="2">
        <v>80</v>
      </c>
      <c r="C81" s="2">
        <v>10000</v>
      </c>
      <c r="D81" s="2">
        <v>1048576</v>
      </c>
      <c r="E81" s="2">
        <v>59577403</v>
      </c>
      <c r="F81" s="2">
        <v>3961613</v>
      </c>
    </row>
    <row r="82" spans="1:6" x14ac:dyDescent="0.3">
      <c r="A82" t="s">
        <v>5</v>
      </c>
      <c r="B82" s="2">
        <v>80</v>
      </c>
      <c r="C82" s="2">
        <v>10000</v>
      </c>
      <c r="D82" s="2">
        <v>1900000</v>
      </c>
      <c r="E82" s="2">
        <v>107950635</v>
      </c>
      <c r="F82" s="2">
        <v>3961507</v>
      </c>
    </row>
    <row r="83" spans="1:6" x14ac:dyDescent="0.3">
      <c r="A83" t="s">
        <v>5</v>
      </c>
      <c r="B83" s="2">
        <v>120</v>
      </c>
      <c r="C83" s="2">
        <v>10000</v>
      </c>
      <c r="D83" s="2">
        <v>264</v>
      </c>
      <c r="E83" s="2">
        <v>28668</v>
      </c>
      <c r="F83" s="2">
        <v>5578587</v>
      </c>
    </row>
    <row r="84" spans="1:6" x14ac:dyDescent="0.3">
      <c r="A84" t="s">
        <v>5</v>
      </c>
      <c r="B84" s="2">
        <v>120</v>
      </c>
      <c r="C84" s="2">
        <v>10000</v>
      </c>
      <c r="D84" s="2">
        <v>1024</v>
      </c>
      <c r="E84" s="2">
        <v>93294</v>
      </c>
      <c r="F84" s="2">
        <v>5578698</v>
      </c>
    </row>
    <row r="85" spans="1:6" x14ac:dyDescent="0.3">
      <c r="A85" t="s">
        <v>5</v>
      </c>
      <c r="B85" s="2">
        <v>120</v>
      </c>
      <c r="C85" s="2">
        <v>10000</v>
      </c>
      <c r="D85" s="2">
        <v>10240</v>
      </c>
      <c r="E85" s="2">
        <v>869166</v>
      </c>
      <c r="F85" s="2">
        <v>5578632</v>
      </c>
    </row>
    <row r="86" spans="1:6" x14ac:dyDescent="0.3">
      <c r="A86" t="s">
        <v>5</v>
      </c>
      <c r="B86" s="2">
        <v>120</v>
      </c>
      <c r="C86" s="2">
        <v>10000</v>
      </c>
      <c r="D86" s="2">
        <v>51200</v>
      </c>
      <c r="E86" s="2">
        <v>4317486</v>
      </c>
      <c r="F86" s="2">
        <v>5578700</v>
      </c>
    </row>
    <row r="87" spans="1:6" x14ac:dyDescent="0.3">
      <c r="A87" t="s">
        <v>5</v>
      </c>
      <c r="B87" s="2">
        <v>120</v>
      </c>
      <c r="C87" s="2">
        <v>10000</v>
      </c>
      <c r="D87" s="2">
        <v>102400</v>
      </c>
      <c r="E87" s="2">
        <v>8627886</v>
      </c>
      <c r="F87" s="2">
        <v>5578516</v>
      </c>
    </row>
    <row r="88" spans="1:6" x14ac:dyDescent="0.3">
      <c r="A88" t="s">
        <v>5</v>
      </c>
      <c r="B88" s="2">
        <v>120</v>
      </c>
      <c r="C88" s="2">
        <v>10000</v>
      </c>
      <c r="D88" s="2">
        <v>262144</v>
      </c>
      <c r="E88" s="2">
        <v>22076334</v>
      </c>
      <c r="F88" s="2">
        <v>5578436</v>
      </c>
    </row>
    <row r="89" spans="1:6" x14ac:dyDescent="0.3">
      <c r="A89" t="s">
        <v>5</v>
      </c>
      <c r="B89" s="2">
        <v>120</v>
      </c>
      <c r="C89" s="2">
        <v>10000</v>
      </c>
      <c r="D89" s="2">
        <v>524288</v>
      </c>
      <c r="E89" s="2">
        <v>44145582</v>
      </c>
      <c r="F89" s="2">
        <v>5579117</v>
      </c>
    </row>
    <row r="90" spans="1:6" x14ac:dyDescent="0.3">
      <c r="A90" t="s">
        <v>5</v>
      </c>
      <c r="B90" s="2">
        <v>120</v>
      </c>
      <c r="C90" s="2">
        <v>10000</v>
      </c>
      <c r="D90" s="2">
        <v>1048576</v>
      </c>
      <c r="E90" s="2">
        <v>88284078</v>
      </c>
      <c r="F90" s="2">
        <v>5579294</v>
      </c>
    </row>
    <row r="91" spans="1:6" x14ac:dyDescent="0.3">
      <c r="A91" t="s">
        <v>5</v>
      </c>
      <c r="B91" s="2">
        <v>120</v>
      </c>
      <c r="C91" s="2">
        <v>10000</v>
      </c>
      <c r="D91" s="2">
        <v>1900000</v>
      </c>
      <c r="E91" s="2">
        <v>159965901</v>
      </c>
      <c r="F91" s="2">
        <v>5579218</v>
      </c>
    </row>
    <row r="92" spans="1:6" x14ac:dyDescent="0.3">
      <c r="A92" t="s">
        <v>6</v>
      </c>
      <c r="B92" s="2">
        <v>4</v>
      </c>
      <c r="C92" s="2">
        <v>12064</v>
      </c>
      <c r="D92" s="2">
        <v>264</v>
      </c>
      <c r="E92" s="2">
        <v>15381</v>
      </c>
      <c r="F92" s="2">
        <v>4309397</v>
      </c>
    </row>
    <row r="93" spans="1:6" x14ac:dyDescent="0.3">
      <c r="A93" t="s">
        <v>6</v>
      </c>
      <c r="B93" s="2">
        <v>4</v>
      </c>
      <c r="C93" s="2">
        <v>12064</v>
      </c>
      <c r="D93" s="2">
        <v>1024</v>
      </c>
      <c r="E93" s="2">
        <v>48693</v>
      </c>
      <c r="F93" s="2">
        <v>4309414</v>
      </c>
    </row>
    <row r="94" spans="1:6" x14ac:dyDescent="0.3">
      <c r="A94" t="s">
        <v>6</v>
      </c>
      <c r="B94" s="2">
        <v>4</v>
      </c>
      <c r="C94" s="2">
        <v>12064</v>
      </c>
      <c r="D94" s="2">
        <v>10240</v>
      </c>
      <c r="E94" s="2">
        <v>448725</v>
      </c>
      <c r="F94" s="2">
        <v>4310067</v>
      </c>
    </row>
    <row r="95" spans="1:6" x14ac:dyDescent="0.3">
      <c r="A95" t="s">
        <v>6</v>
      </c>
      <c r="B95" s="2">
        <v>4</v>
      </c>
      <c r="C95" s="2">
        <v>12064</v>
      </c>
      <c r="D95" s="2">
        <v>51200</v>
      </c>
      <c r="E95" s="2">
        <v>2226645</v>
      </c>
      <c r="F95" s="2">
        <v>4311183</v>
      </c>
    </row>
    <row r="96" spans="1:6" x14ac:dyDescent="0.3">
      <c r="A96" t="s">
        <v>6</v>
      </c>
      <c r="B96" s="2">
        <v>4</v>
      </c>
      <c r="C96" s="2">
        <v>12064</v>
      </c>
      <c r="D96" s="2">
        <v>102400</v>
      </c>
      <c r="E96" s="2">
        <v>4449045</v>
      </c>
      <c r="F96" s="2">
        <v>4310072</v>
      </c>
    </row>
    <row r="97" spans="1:6" x14ac:dyDescent="0.3">
      <c r="A97" t="s">
        <v>6</v>
      </c>
      <c r="B97" s="2">
        <v>4</v>
      </c>
      <c r="C97" s="2">
        <v>12064</v>
      </c>
      <c r="D97" s="2">
        <v>262144</v>
      </c>
      <c r="E97" s="2">
        <v>11382933</v>
      </c>
      <c r="F97" s="2">
        <v>4309522</v>
      </c>
    </row>
    <row r="98" spans="1:6" x14ac:dyDescent="0.3">
      <c r="A98" t="s">
        <v>6</v>
      </c>
      <c r="B98" s="2">
        <v>4</v>
      </c>
      <c r="C98" s="2">
        <v>12064</v>
      </c>
      <c r="D98" s="2">
        <v>524288</v>
      </c>
      <c r="E98" s="2">
        <v>22761621</v>
      </c>
      <c r="F98" s="2">
        <v>4310075</v>
      </c>
    </row>
    <row r="99" spans="1:6" x14ac:dyDescent="0.3">
      <c r="A99" t="s">
        <v>6</v>
      </c>
      <c r="B99" s="2">
        <v>4</v>
      </c>
      <c r="C99" s="2">
        <v>12064</v>
      </c>
      <c r="D99" s="2">
        <v>1048576</v>
      </c>
      <c r="E99" s="2">
        <v>45518997</v>
      </c>
      <c r="F99" s="2">
        <v>4309597</v>
      </c>
    </row>
    <row r="100" spans="1:6" x14ac:dyDescent="0.3">
      <c r="A100" t="s">
        <v>6</v>
      </c>
      <c r="B100" s="2">
        <v>4</v>
      </c>
      <c r="C100" s="2">
        <v>12064</v>
      </c>
      <c r="D100" s="2">
        <v>1900000</v>
      </c>
      <c r="E100" s="2">
        <v>82477406</v>
      </c>
      <c r="F100" s="2">
        <v>4309207</v>
      </c>
    </row>
    <row r="101" spans="1:6" x14ac:dyDescent="0.3">
      <c r="A101" t="s">
        <v>6</v>
      </c>
      <c r="B101" s="2">
        <v>20</v>
      </c>
      <c r="C101" s="2">
        <v>12064</v>
      </c>
      <c r="D101" s="2">
        <v>264</v>
      </c>
      <c r="E101" s="2">
        <v>15371</v>
      </c>
      <c r="F101" s="2">
        <v>4304424</v>
      </c>
    </row>
    <row r="102" spans="1:6" x14ac:dyDescent="0.3">
      <c r="A102" t="s">
        <v>6</v>
      </c>
      <c r="B102" s="2">
        <v>20</v>
      </c>
      <c r="C102" s="2">
        <v>12064</v>
      </c>
      <c r="D102" s="2">
        <v>1024</v>
      </c>
      <c r="E102" s="2">
        <v>48659</v>
      </c>
      <c r="F102" s="2">
        <v>4304441</v>
      </c>
    </row>
    <row r="103" spans="1:6" x14ac:dyDescent="0.3">
      <c r="A103" t="s">
        <v>6</v>
      </c>
      <c r="B103" s="2">
        <v>20</v>
      </c>
      <c r="C103" s="2">
        <v>12064</v>
      </c>
      <c r="D103" s="2">
        <v>10240</v>
      </c>
      <c r="E103" s="2">
        <v>448403</v>
      </c>
      <c r="F103" s="2">
        <v>4305094</v>
      </c>
    </row>
    <row r="104" spans="1:6" x14ac:dyDescent="0.3">
      <c r="A104" t="s">
        <v>6</v>
      </c>
      <c r="B104" s="2">
        <v>20</v>
      </c>
      <c r="C104" s="2">
        <v>12064</v>
      </c>
      <c r="D104" s="2">
        <v>51200</v>
      </c>
      <c r="E104" s="2">
        <v>2225043</v>
      </c>
      <c r="F104" s="2">
        <v>4306213</v>
      </c>
    </row>
    <row r="105" spans="1:6" x14ac:dyDescent="0.3">
      <c r="A105" t="s">
        <v>6</v>
      </c>
      <c r="B105" s="2">
        <v>20</v>
      </c>
      <c r="C105" s="2">
        <v>12064</v>
      </c>
      <c r="D105" s="2">
        <v>102400</v>
      </c>
      <c r="E105" s="2">
        <v>4445843</v>
      </c>
      <c r="F105" s="2">
        <v>4305099</v>
      </c>
    </row>
    <row r="106" spans="1:6" x14ac:dyDescent="0.3">
      <c r="A106" t="s">
        <v>6</v>
      </c>
      <c r="B106" s="2">
        <v>20</v>
      </c>
      <c r="C106" s="2">
        <v>12064</v>
      </c>
      <c r="D106" s="2">
        <v>262144</v>
      </c>
      <c r="E106" s="2">
        <v>11374739</v>
      </c>
      <c r="F106" s="2">
        <v>4304549</v>
      </c>
    </row>
    <row r="107" spans="1:6" x14ac:dyDescent="0.3">
      <c r="A107" t="s">
        <v>6</v>
      </c>
      <c r="B107" s="2">
        <v>20</v>
      </c>
      <c r="C107" s="2">
        <v>12064</v>
      </c>
      <c r="D107" s="2">
        <v>524288</v>
      </c>
      <c r="E107" s="2">
        <v>22745235</v>
      </c>
      <c r="F107" s="2">
        <v>4305102</v>
      </c>
    </row>
    <row r="108" spans="1:6" x14ac:dyDescent="0.3">
      <c r="A108" t="s">
        <v>6</v>
      </c>
      <c r="B108" s="2">
        <v>20</v>
      </c>
      <c r="C108" s="2">
        <v>12064</v>
      </c>
      <c r="D108" s="2">
        <v>1048576</v>
      </c>
      <c r="E108" s="2">
        <v>45486227</v>
      </c>
      <c r="F108" s="2">
        <v>4304624</v>
      </c>
    </row>
    <row r="109" spans="1:6" x14ac:dyDescent="0.3">
      <c r="A109" t="s">
        <v>6</v>
      </c>
      <c r="B109" s="2">
        <v>20</v>
      </c>
      <c r="C109" s="2">
        <v>12064</v>
      </c>
      <c r="D109" s="2">
        <v>1900000</v>
      </c>
      <c r="E109" s="2">
        <v>82418030</v>
      </c>
      <c r="F109" s="2">
        <v>4304234</v>
      </c>
    </row>
    <row r="110" spans="1:6" x14ac:dyDescent="0.3">
      <c r="A110" t="s">
        <v>6</v>
      </c>
      <c r="B110" s="2">
        <v>40</v>
      </c>
      <c r="C110" s="2">
        <v>12064</v>
      </c>
      <c r="D110" s="2">
        <v>264</v>
      </c>
      <c r="E110" s="2">
        <v>15673</v>
      </c>
      <c r="F110" s="2">
        <v>4316917</v>
      </c>
    </row>
    <row r="111" spans="1:6" x14ac:dyDescent="0.3">
      <c r="A111" t="s">
        <v>6</v>
      </c>
      <c r="B111" s="2">
        <v>40</v>
      </c>
      <c r="C111" s="2">
        <v>12064</v>
      </c>
      <c r="D111" s="2">
        <v>1024</v>
      </c>
      <c r="E111" s="2">
        <v>49595</v>
      </c>
      <c r="F111" s="2">
        <v>4317028</v>
      </c>
    </row>
    <row r="112" spans="1:6" x14ac:dyDescent="0.3">
      <c r="A112" t="s">
        <v>6</v>
      </c>
      <c r="B112" s="2">
        <v>40</v>
      </c>
      <c r="C112" s="2">
        <v>12064</v>
      </c>
      <c r="D112" s="2">
        <v>10240</v>
      </c>
      <c r="E112" s="2">
        <v>456971</v>
      </c>
      <c r="F112" s="2">
        <v>4317628</v>
      </c>
    </row>
    <row r="113" spans="1:6" x14ac:dyDescent="0.3">
      <c r="A113" t="s">
        <v>6</v>
      </c>
      <c r="B113" s="2">
        <v>40</v>
      </c>
      <c r="C113" s="2">
        <v>12064</v>
      </c>
      <c r="D113" s="2">
        <v>51200</v>
      </c>
      <c r="E113" s="2">
        <v>2267531</v>
      </c>
      <c r="F113" s="2">
        <v>4318796</v>
      </c>
    </row>
    <row r="114" spans="1:6" x14ac:dyDescent="0.3">
      <c r="A114" t="s">
        <v>6</v>
      </c>
      <c r="B114" s="2">
        <v>40</v>
      </c>
      <c r="C114" s="2">
        <v>12064</v>
      </c>
      <c r="D114" s="2">
        <v>102400</v>
      </c>
      <c r="E114" s="2">
        <v>4530731</v>
      </c>
      <c r="F114" s="2">
        <v>4317696</v>
      </c>
    </row>
    <row r="115" spans="1:6" x14ac:dyDescent="0.3">
      <c r="A115" t="s">
        <v>6</v>
      </c>
      <c r="B115" s="2">
        <v>40</v>
      </c>
      <c r="C115" s="2">
        <v>12064</v>
      </c>
      <c r="D115" s="2">
        <v>262144</v>
      </c>
      <c r="E115" s="2">
        <v>11591915</v>
      </c>
      <c r="F115" s="2">
        <v>4317001</v>
      </c>
    </row>
    <row r="116" spans="1:6" x14ac:dyDescent="0.3">
      <c r="A116" t="s">
        <v>6</v>
      </c>
      <c r="B116" s="2">
        <v>40</v>
      </c>
      <c r="C116" s="2">
        <v>12064</v>
      </c>
      <c r="D116" s="2">
        <v>524288</v>
      </c>
      <c r="E116" s="2">
        <v>23179499</v>
      </c>
      <c r="F116" s="2">
        <v>4317641</v>
      </c>
    </row>
    <row r="117" spans="1:6" x14ac:dyDescent="0.3">
      <c r="A117" t="s">
        <v>6</v>
      </c>
      <c r="B117" s="2">
        <v>40</v>
      </c>
      <c r="C117" s="2">
        <v>12064</v>
      </c>
      <c r="D117" s="2">
        <v>1048576</v>
      </c>
      <c r="E117" s="2">
        <v>46354667</v>
      </c>
      <c r="F117" s="2">
        <v>4317099</v>
      </c>
    </row>
    <row r="118" spans="1:6" x14ac:dyDescent="0.3">
      <c r="A118" t="s">
        <v>6</v>
      </c>
      <c r="B118" s="2">
        <v>40</v>
      </c>
      <c r="C118" s="2">
        <v>12064</v>
      </c>
      <c r="D118" s="2">
        <v>1900000</v>
      </c>
      <c r="E118" s="2">
        <v>83991572</v>
      </c>
      <c r="F118" s="2">
        <v>4316712</v>
      </c>
    </row>
    <row r="119" spans="1:6" x14ac:dyDescent="0.3">
      <c r="A119" t="s">
        <v>6</v>
      </c>
      <c r="B119" s="2">
        <v>80</v>
      </c>
      <c r="C119" s="2">
        <v>12064</v>
      </c>
      <c r="D119" s="2">
        <v>264</v>
      </c>
      <c r="E119" s="2">
        <v>19750</v>
      </c>
      <c r="F119" s="2">
        <v>6948809</v>
      </c>
    </row>
    <row r="120" spans="1:6" x14ac:dyDescent="0.3">
      <c r="A120" t="s">
        <v>6</v>
      </c>
      <c r="B120" s="2">
        <v>80</v>
      </c>
      <c r="C120" s="2">
        <v>12064</v>
      </c>
      <c r="D120" s="2">
        <v>1024</v>
      </c>
      <c r="E120" s="2">
        <v>63355</v>
      </c>
      <c r="F120" s="2">
        <v>6948922</v>
      </c>
    </row>
    <row r="121" spans="1:6" x14ac:dyDescent="0.3">
      <c r="A121" t="s">
        <v>6</v>
      </c>
      <c r="B121" s="2">
        <v>80</v>
      </c>
      <c r="C121" s="2">
        <v>12064</v>
      </c>
      <c r="D121" s="2">
        <v>10240</v>
      </c>
      <c r="E121" s="2">
        <v>586939</v>
      </c>
      <c r="F121" s="2">
        <v>6949518</v>
      </c>
    </row>
    <row r="122" spans="1:6" x14ac:dyDescent="0.3">
      <c r="A122" t="s">
        <v>6</v>
      </c>
      <c r="B122" s="2">
        <v>80</v>
      </c>
      <c r="C122" s="2">
        <v>12064</v>
      </c>
      <c r="D122" s="2">
        <v>51200</v>
      </c>
      <c r="E122" s="2">
        <v>2913979</v>
      </c>
      <c r="F122" s="2">
        <v>6950679</v>
      </c>
    </row>
    <row r="123" spans="1:6" x14ac:dyDescent="0.3">
      <c r="A123" t="s">
        <v>6</v>
      </c>
      <c r="B123" s="2">
        <v>80</v>
      </c>
      <c r="C123" s="2">
        <v>12064</v>
      </c>
      <c r="D123" s="2">
        <v>102400</v>
      </c>
      <c r="E123" s="2">
        <v>5822779</v>
      </c>
      <c r="F123" s="2">
        <v>6949593</v>
      </c>
    </row>
    <row r="124" spans="1:6" x14ac:dyDescent="0.3">
      <c r="A124" t="s">
        <v>6</v>
      </c>
      <c r="B124" s="2">
        <v>80</v>
      </c>
      <c r="C124" s="2">
        <v>12064</v>
      </c>
      <c r="D124" s="2">
        <v>262144</v>
      </c>
      <c r="E124" s="2">
        <v>14898235</v>
      </c>
      <c r="F124" s="2">
        <v>6948899</v>
      </c>
    </row>
    <row r="125" spans="1:6" x14ac:dyDescent="0.3">
      <c r="A125" t="s">
        <v>6</v>
      </c>
      <c r="B125" s="2">
        <v>80</v>
      </c>
      <c r="C125" s="2">
        <v>12064</v>
      </c>
      <c r="D125" s="2">
        <v>524288</v>
      </c>
      <c r="E125" s="2">
        <v>29791291</v>
      </c>
      <c r="F125" s="2">
        <v>6949535</v>
      </c>
    </row>
    <row r="126" spans="1:6" x14ac:dyDescent="0.3">
      <c r="A126" t="s">
        <v>6</v>
      </c>
      <c r="B126" s="2">
        <v>80</v>
      </c>
      <c r="C126" s="2">
        <v>12064</v>
      </c>
      <c r="D126" s="2">
        <v>1048576</v>
      </c>
      <c r="E126" s="2">
        <v>59577403</v>
      </c>
      <c r="F126" s="2">
        <v>6948997</v>
      </c>
    </row>
    <row r="127" spans="1:6" x14ac:dyDescent="0.3">
      <c r="A127" t="s">
        <v>6</v>
      </c>
      <c r="B127" s="2">
        <v>80</v>
      </c>
      <c r="C127" s="2">
        <v>12064</v>
      </c>
      <c r="D127" s="2">
        <v>1900000</v>
      </c>
      <c r="E127" s="2">
        <v>107950635</v>
      </c>
      <c r="F127" s="2">
        <v>6948613</v>
      </c>
    </row>
    <row r="128" spans="1:6" x14ac:dyDescent="0.3">
      <c r="A128" t="s">
        <v>6</v>
      </c>
      <c r="B128" s="2">
        <v>120</v>
      </c>
      <c r="C128" s="2">
        <v>12064</v>
      </c>
      <c r="D128" s="2">
        <v>264</v>
      </c>
      <c r="E128" s="2">
        <v>28668</v>
      </c>
      <c r="F128" s="2">
        <v>9829495</v>
      </c>
    </row>
    <row r="129" spans="1:6" x14ac:dyDescent="0.3">
      <c r="A129" t="s">
        <v>6</v>
      </c>
      <c r="B129" s="2">
        <v>120</v>
      </c>
      <c r="C129" s="2">
        <v>12064</v>
      </c>
      <c r="D129" s="2">
        <v>1024</v>
      </c>
      <c r="E129" s="2">
        <v>93294</v>
      </c>
      <c r="F129" s="2">
        <v>9829568</v>
      </c>
    </row>
    <row r="130" spans="1:6" x14ac:dyDescent="0.3">
      <c r="A130" t="s">
        <v>6</v>
      </c>
      <c r="B130" s="2">
        <v>120</v>
      </c>
      <c r="C130" s="2">
        <v>12064</v>
      </c>
      <c r="D130" s="2">
        <v>10240</v>
      </c>
      <c r="E130" s="2">
        <v>869166</v>
      </c>
      <c r="F130" s="2">
        <v>9830165</v>
      </c>
    </row>
    <row r="131" spans="1:6" x14ac:dyDescent="0.3">
      <c r="A131" t="s">
        <v>6</v>
      </c>
      <c r="B131" s="2">
        <v>120</v>
      </c>
      <c r="C131" s="2">
        <v>12064</v>
      </c>
      <c r="D131" s="2">
        <v>51200</v>
      </c>
      <c r="E131" s="2">
        <v>4317486</v>
      </c>
      <c r="F131" s="2">
        <v>9831282</v>
      </c>
    </row>
    <row r="132" spans="1:6" x14ac:dyDescent="0.3">
      <c r="A132" t="s">
        <v>6</v>
      </c>
      <c r="B132" s="2">
        <v>120</v>
      </c>
      <c r="C132" s="2">
        <v>12064</v>
      </c>
      <c r="D132" s="2">
        <v>102400</v>
      </c>
      <c r="E132" s="2">
        <v>8627886</v>
      </c>
      <c r="F132" s="2">
        <v>9830211</v>
      </c>
    </row>
    <row r="133" spans="1:6" x14ac:dyDescent="0.3">
      <c r="A133" t="s">
        <v>6</v>
      </c>
      <c r="B133" s="2">
        <v>120</v>
      </c>
      <c r="C133" s="2">
        <v>12064</v>
      </c>
      <c r="D133" s="2">
        <v>262144</v>
      </c>
      <c r="E133" s="2">
        <v>22076334</v>
      </c>
      <c r="F133" s="2">
        <v>9829589</v>
      </c>
    </row>
    <row r="134" spans="1:6" x14ac:dyDescent="0.3">
      <c r="A134" t="s">
        <v>6</v>
      </c>
      <c r="B134" s="2">
        <v>120</v>
      </c>
      <c r="C134" s="2">
        <v>12064</v>
      </c>
      <c r="D134" s="2">
        <v>524288</v>
      </c>
      <c r="E134" s="2">
        <v>44145582</v>
      </c>
      <c r="F134" s="2">
        <v>9830187</v>
      </c>
    </row>
    <row r="135" spans="1:6" x14ac:dyDescent="0.3">
      <c r="A135" t="s">
        <v>6</v>
      </c>
      <c r="B135" s="2">
        <v>120</v>
      </c>
      <c r="C135" s="2">
        <v>12064</v>
      </c>
      <c r="D135" s="2">
        <v>1048576</v>
      </c>
      <c r="E135" s="2">
        <v>88284078</v>
      </c>
      <c r="F135" s="2">
        <v>9829681</v>
      </c>
    </row>
    <row r="136" spans="1:6" x14ac:dyDescent="0.3">
      <c r="A136" t="s">
        <v>6</v>
      </c>
      <c r="B136" s="2">
        <v>120</v>
      </c>
      <c r="C136" s="2">
        <v>12064</v>
      </c>
      <c r="D136" s="2">
        <v>1900000</v>
      </c>
      <c r="E136" s="2">
        <v>159965901</v>
      </c>
      <c r="F136" s="2">
        <v>9829304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benchmark_all_data_SHA3_256</vt:lpstr>
      <vt:lpstr>benchmark_all_data_SHA_256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 Silaghe</dc:creator>
  <cp:lastModifiedBy>Liviu Silaghe</cp:lastModifiedBy>
  <dcterms:created xsi:type="dcterms:W3CDTF">2026-08-09T11:37:47Z</dcterms:created>
  <dcterms:modified xsi:type="dcterms:W3CDTF">2026-08-23T18:19:05Z</dcterms:modified>
</cp:coreProperties>
</file>